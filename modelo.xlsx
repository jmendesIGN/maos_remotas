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imili Mendes\Documents\projetos\"/>
    </mc:Choice>
  </mc:AlternateContent>
  <xr:revisionPtr revIDLastSave="0" documentId="8_{34B24429-48B2-49F2-BAAD-89793C2CE6E0}" xr6:coauthVersionLast="47" xr6:coauthVersionMax="47" xr10:uidLastSave="{00000000-0000-0000-0000-000000000000}"/>
  <bookViews>
    <workbookView xWindow="-108" yWindow="-108" windowWidth="23256" windowHeight="12456" xr2:uid="{5BC305F8-4B1A-4033-B912-33AEC7FE93F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1" i="1" l="1"/>
  <c r="M101" i="1"/>
  <c r="N100" i="1"/>
  <c r="M100" i="1"/>
  <c r="N99" i="1"/>
  <c r="M99" i="1"/>
  <c r="N98" i="1"/>
  <c r="M98" i="1"/>
  <c r="N97" i="1"/>
  <c r="M97" i="1"/>
  <c r="N96" i="1"/>
  <c r="M96" i="1"/>
  <c r="N95" i="1"/>
  <c r="M95" i="1"/>
  <c r="N94" i="1"/>
  <c r="M94" i="1"/>
  <c r="N93" i="1"/>
  <c r="M93" i="1"/>
  <c r="N92" i="1"/>
  <c r="M92" i="1"/>
  <c r="N91" i="1"/>
  <c r="M91" i="1"/>
  <c r="N90" i="1"/>
  <c r="M90" i="1"/>
  <c r="N89" i="1"/>
  <c r="M89" i="1"/>
  <c r="N88" i="1"/>
  <c r="M88" i="1"/>
  <c r="N87" i="1"/>
  <c r="M87" i="1"/>
  <c r="N86" i="1"/>
  <c r="M86" i="1"/>
  <c r="N85" i="1"/>
  <c r="M85" i="1"/>
  <c r="N84" i="1"/>
  <c r="M84" i="1"/>
  <c r="N83" i="1"/>
  <c r="M83" i="1"/>
  <c r="N82" i="1"/>
  <c r="M82" i="1"/>
  <c r="N81" i="1"/>
  <c r="M81" i="1"/>
  <c r="N80" i="1"/>
  <c r="M80" i="1"/>
  <c r="N79" i="1"/>
  <c r="M79" i="1"/>
  <c r="N78" i="1"/>
  <c r="M78" i="1"/>
  <c r="N77" i="1"/>
  <c r="M77" i="1"/>
  <c r="N76" i="1"/>
  <c r="M76" i="1"/>
  <c r="N75" i="1"/>
  <c r="M75" i="1"/>
  <c r="N74" i="1"/>
  <c r="M74" i="1"/>
  <c r="N73" i="1"/>
  <c r="M73" i="1"/>
  <c r="N72" i="1"/>
  <c r="M72" i="1"/>
  <c r="N71" i="1"/>
  <c r="M71" i="1"/>
  <c r="N70" i="1"/>
  <c r="M70" i="1"/>
  <c r="N69" i="1"/>
  <c r="M69" i="1"/>
  <c r="N68" i="1"/>
  <c r="M68" i="1"/>
  <c r="N67" i="1"/>
  <c r="M67" i="1"/>
  <c r="N66" i="1"/>
  <c r="M66" i="1"/>
  <c r="N65" i="1"/>
  <c r="M65" i="1"/>
  <c r="N64" i="1"/>
  <c r="M64" i="1"/>
  <c r="N63" i="1"/>
  <c r="M63" i="1"/>
  <c r="N62" i="1"/>
  <c r="M62" i="1"/>
  <c r="N61" i="1"/>
  <c r="M61" i="1"/>
  <c r="N60" i="1"/>
  <c r="M60" i="1"/>
  <c r="N59" i="1"/>
  <c r="M59" i="1"/>
  <c r="N58" i="1"/>
  <c r="M58" i="1"/>
  <c r="N57" i="1"/>
  <c r="M57" i="1"/>
  <c r="N56" i="1"/>
  <c r="M56" i="1"/>
  <c r="N55" i="1"/>
  <c r="M55" i="1"/>
  <c r="N54" i="1"/>
  <c r="M54" i="1"/>
  <c r="N53" i="1"/>
  <c r="M53" i="1"/>
  <c r="N52" i="1"/>
  <c r="M52" i="1"/>
  <c r="N51" i="1"/>
  <c r="M51" i="1"/>
  <c r="N50" i="1"/>
  <c r="M50" i="1"/>
  <c r="N49" i="1"/>
  <c r="M49" i="1"/>
  <c r="N48" i="1"/>
  <c r="M48" i="1"/>
  <c r="N47" i="1"/>
  <c r="M47" i="1"/>
  <c r="N46" i="1"/>
  <c r="M46" i="1"/>
  <c r="N45" i="1"/>
  <c r="M45" i="1"/>
  <c r="N44" i="1"/>
  <c r="M44" i="1"/>
  <c r="N43" i="1"/>
  <c r="M43" i="1"/>
  <c r="N42" i="1"/>
  <c r="M42" i="1"/>
  <c r="N41" i="1"/>
  <c r="M41" i="1"/>
  <c r="N40" i="1"/>
  <c r="M40" i="1"/>
  <c r="N39" i="1"/>
  <c r="M39" i="1"/>
  <c r="N38" i="1"/>
  <c r="M38" i="1"/>
  <c r="N37" i="1"/>
  <c r="M37" i="1"/>
  <c r="N36" i="1"/>
  <c r="M36" i="1"/>
  <c r="N35" i="1"/>
  <c r="M35" i="1"/>
  <c r="N34" i="1"/>
  <c r="M34" i="1"/>
  <c r="N33" i="1"/>
  <c r="M33" i="1"/>
  <c r="N32" i="1"/>
  <c r="M32" i="1"/>
  <c r="N31" i="1"/>
  <c r="M31" i="1"/>
  <c r="N30" i="1"/>
  <c r="M30" i="1"/>
  <c r="N29" i="1"/>
  <c r="M29" i="1"/>
  <c r="N28" i="1"/>
  <c r="M28" i="1"/>
  <c r="N27" i="1"/>
  <c r="M27" i="1"/>
  <c r="N26" i="1"/>
  <c r="M26" i="1"/>
  <c r="N25" i="1"/>
  <c r="M25" i="1"/>
  <c r="N24" i="1"/>
  <c r="M24" i="1"/>
  <c r="N23" i="1"/>
  <c r="M23" i="1"/>
  <c r="N22" i="1"/>
  <c r="M22" i="1"/>
  <c r="N21" i="1"/>
  <c r="M21" i="1"/>
  <c r="N20" i="1"/>
  <c r="M20" i="1"/>
  <c r="N19" i="1"/>
  <c r="M19" i="1"/>
  <c r="N18" i="1"/>
  <c r="M18" i="1"/>
  <c r="N17" i="1"/>
  <c r="M17" i="1"/>
  <c r="N16" i="1"/>
  <c r="M16" i="1"/>
  <c r="N15" i="1"/>
  <c r="M15" i="1"/>
  <c r="N14" i="1"/>
  <c r="M14" i="1"/>
  <c r="N13" i="1"/>
  <c r="M13" i="1"/>
  <c r="N12" i="1"/>
  <c r="M12" i="1"/>
  <c r="N11" i="1"/>
  <c r="M11" i="1"/>
  <c r="N10" i="1"/>
  <c r="M10" i="1"/>
  <c r="N9" i="1"/>
  <c r="M9" i="1"/>
  <c r="N8" i="1"/>
  <c r="M8" i="1"/>
  <c r="N7" i="1"/>
  <c r="M7" i="1"/>
  <c r="N6" i="1"/>
  <c r="M6" i="1"/>
  <c r="N5" i="1"/>
  <c r="M5" i="1"/>
  <c r="N4" i="1"/>
  <c r="M4" i="1"/>
  <c r="N3" i="1"/>
  <c r="M3" i="1"/>
  <c r="N2" i="1"/>
  <c r="M2" i="1"/>
</calcChain>
</file>

<file path=xl/sharedStrings.xml><?xml version="1.0" encoding="utf-8"?>
<sst xmlns="http://schemas.openxmlformats.org/spreadsheetml/2006/main" count="448" uniqueCount="251">
  <si>
    <t>IGN Network</t>
  </si>
  <si>
    <t>Data</t>
  </si>
  <si>
    <t>HR inic. e Final</t>
  </si>
  <si>
    <t>Responsavel</t>
  </si>
  <si>
    <t>KM Total</t>
  </si>
  <si>
    <t>Material utilizado</t>
  </si>
  <si>
    <t>Horas totais</t>
  </si>
  <si>
    <t>Custo de Material</t>
  </si>
  <si>
    <t>KM</t>
  </si>
  <si>
    <t>Pedagio</t>
  </si>
  <si>
    <t>Primeira Hora</t>
  </si>
  <si>
    <t>Hora Adicional</t>
  </si>
  <si>
    <t xml:space="preserve">Valor </t>
  </si>
  <si>
    <t>Total de horas</t>
  </si>
  <si>
    <t>SID</t>
  </si>
  <si>
    <t>Tangara Transmissora Açailandia - MA PID15241</t>
  </si>
  <si>
    <t>11:00 - 12:00</t>
  </si>
  <si>
    <t>Alexandre</t>
  </si>
  <si>
    <t>Envio de equipamento QN955474552BR R$138,20</t>
  </si>
  <si>
    <t>EMB.5599.A005</t>
  </si>
  <si>
    <t>RTM ELEA Rio de Janeiro - RJ PID15724</t>
  </si>
  <si>
    <t>16:30 - 18:30</t>
  </si>
  <si>
    <t>Amim</t>
  </si>
  <si>
    <t>EMB.5521.A086</t>
  </si>
  <si>
    <t>CBA Poços de Caldas - MG PID15428</t>
  </si>
  <si>
    <t>10:00 - 11:30</t>
  </si>
  <si>
    <t>EMB.5535.A017</t>
  </si>
  <si>
    <t>Springer Extrema - MG PID15670</t>
  </si>
  <si>
    <t>17:30 - 18:30</t>
  </si>
  <si>
    <t>EMB.5535.A019</t>
  </si>
  <si>
    <t>Transpetro Cubatão - SP PID14680</t>
  </si>
  <si>
    <t>14:00 - 16:00</t>
  </si>
  <si>
    <t xml:space="preserve">1 Patchcord </t>
  </si>
  <si>
    <t>EMB.5513.A013</t>
  </si>
  <si>
    <t>09:00 - 14:30</t>
  </si>
  <si>
    <t>1 Fibracord MM Duplex R$65,00</t>
  </si>
  <si>
    <t>CTG Brasil Tres Lagoas - MS PID15821</t>
  </si>
  <si>
    <t>15:00 - 16:30</t>
  </si>
  <si>
    <t>TBR.5567.A039</t>
  </si>
  <si>
    <t>Prefeitura de Jaborandi - SP PID15712</t>
  </si>
  <si>
    <t>14:00 - 17:00</t>
  </si>
  <si>
    <t>TBR.5517.A021</t>
  </si>
  <si>
    <t>CM Jose Marinho Rio de Janeiro - RJ PID14232</t>
  </si>
  <si>
    <t>10:30 - 13:00</t>
  </si>
  <si>
    <t>Envio de equipamento QN105991163BR R$42,10</t>
  </si>
  <si>
    <t>EMB.5521.A066</t>
  </si>
  <si>
    <t>Bartofil Campina Grande - PB PID15047</t>
  </si>
  <si>
    <t>14:00 - 15:00</t>
  </si>
  <si>
    <t>EMB.5583.A029</t>
  </si>
  <si>
    <t>SPB Ananindeua - PA PID15124</t>
  </si>
  <si>
    <t>09:30 - 10:30</t>
  </si>
  <si>
    <t xml:space="preserve">	TXB.5591.A007</t>
  </si>
  <si>
    <t>Knauf Joinville - SC TT293815</t>
  </si>
  <si>
    <t>09:00 - 09:30</t>
  </si>
  <si>
    <t>Edi</t>
  </si>
  <si>
    <t>Fonte 12v R$40,00</t>
  </si>
  <si>
    <t>MSY.5547.D001</t>
  </si>
  <si>
    <t>ETEC Orlandia - SP TT293024</t>
  </si>
  <si>
    <t>10:00 - 12:00</t>
  </si>
  <si>
    <t>Envio de equipamento QN878798338BR R$42,60</t>
  </si>
  <si>
    <t>TBR.5516.A021</t>
  </si>
  <si>
    <t>Hemmer Blumenau - SC TT293931</t>
  </si>
  <si>
    <t>VTL.5547.A001</t>
  </si>
  <si>
    <t>Flintgroup São Paulo - SP TT294025</t>
  </si>
  <si>
    <t>13:30 - 15:30</t>
  </si>
  <si>
    <t>BRT.5511.B012</t>
  </si>
  <si>
    <t>ZF Friedrichshafen Engenheiro Coelho - SP TT294023</t>
  </si>
  <si>
    <t>09:00 - 12:00</t>
  </si>
  <si>
    <t>VZB.5519.D002</t>
  </si>
  <si>
    <t>Knauf Joinville - SC TT295467</t>
  </si>
  <si>
    <t>Prysmian Sorocaba - SP TT294665</t>
  </si>
  <si>
    <t>17:00 - 19:30</t>
  </si>
  <si>
    <t>VZB.5511.A022</t>
  </si>
  <si>
    <t>WEG Monte Alto - SP TT293104</t>
  </si>
  <si>
    <t>10:00 - 11:00</t>
  </si>
  <si>
    <t>RNG.5516.A001</t>
  </si>
  <si>
    <t>Bradesco Tatui - SP PID13170</t>
  </si>
  <si>
    <t>10:00 - 10:30</t>
  </si>
  <si>
    <t>Eduarda</t>
  </si>
  <si>
    <t>TXB.5515.B002</t>
  </si>
  <si>
    <t>Consulado do Japão Manaus - SP PID14451</t>
  </si>
  <si>
    <t>10:00 -11:00</t>
  </si>
  <si>
    <t>Envio de equipamento QN261065487BR R$65,20</t>
  </si>
  <si>
    <t>VZB.5592.A002</t>
  </si>
  <si>
    <t>Nav Brasil Parauapebas - PA PID11154</t>
  </si>
  <si>
    <t>14:00 - 16:30</t>
  </si>
  <si>
    <t>EMB.5594.A019</t>
  </si>
  <si>
    <t>EM Maria Quiteria Rio de Janeiro - RJ TT294557</t>
  </si>
  <si>
    <t>09:30 - 15:00</t>
  </si>
  <si>
    <t>Envio de equipamento QN105991150BR R$42,10</t>
  </si>
  <si>
    <t>EMB.5521.A055</t>
  </si>
  <si>
    <t>Itaipava Coimbra - MG TT293819</t>
  </si>
  <si>
    <t>14:30 - 15:30</t>
  </si>
  <si>
    <t>Elizabeth</t>
  </si>
  <si>
    <t>TBR.5532.A005</t>
  </si>
  <si>
    <t>09:30 - 11:00</t>
  </si>
  <si>
    <r>
      <t xml:space="preserve">CTG Arinos - MG PID15509 </t>
    </r>
    <r>
      <rPr>
        <sz val="11"/>
        <color rgb="FFFF0000"/>
        <rFont val="Aptos Narrow"/>
        <family val="2"/>
        <scheme val="minor"/>
      </rPr>
      <t>(emer)</t>
    </r>
  </si>
  <si>
    <t>08:00 - 20:00</t>
  </si>
  <si>
    <t>TBR.5538.A005</t>
  </si>
  <si>
    <t xml:space="preserve">CTG Arinos - MG PID15509 </t>
  </si>
  <si>
    <t>Una Bom Despacho - MG PID10193</t>
  </si>
  <si>
    <t>----</t>
  </si>
  <si>
    <t>Fabiana</t>
  </si>
  <si>
    <t>Projeto aquisição 1 Kit Starlink ACC-DF-10934066-42301-35</t>
  </si>
  <si>
    <t>Mensalidade Stalink ACC-4242771-34437-13</t>
  </si>
  <si>
    <t>Mensalidade Stalink ACC-4329328-26952-20</t>
  </si>
  <si>
    <t>Mensalidade Stalink ACC-1708747-97797-38</t>
  </si>
  <si>
    <t>Mensalidade Stalink ACC-1708949-38457-30</t>
  </si>
  <si>
    <t>Mensalidade Stalink ACC-2453334-50821-5</t>
  </si>
  <si>
    <t>Mensalidade Stalink ACC-3892485-94154-27</t>
  </si>
  <si>
    <t>Mensalidade Stalink ACC-3891839-72176-29</t>
  </si>
  <si>
    <t>Mensalidade Stalink ACC-4382522-28546-16</t>
  </si>
  <si>
    <t>Mensalidade Stalink ACC-4388625-55371-22</t>
  </si>
  <si>
    <t>Mensalidade Stalink ACC-4388722-59676-32</t>
  </si>
  <si>
    <t>Mensalidade Stalink ACC-4680195-87265-26</t>
  </si>
  <si>
    <t>Mensalidade Stalink ACC-4680045-13272-7</t>
  </si>
  <si>
    <t>Mensalidade Stalink ACC-5444730-68811-16</t>
  </si>
  <si>
    <t>Mensalidade Stalink ACC-1849067-62380-19</t>
  </si>
  <si>
    <t>Mensalidade Stalink ACC-DF-8959423-90317-8</t>
  </si>
  <si>
    <t>Mensalidade Stalink ACC-1795188-59401-23</t>
  </si>
  <si>
    <t>Mensalidade Stalink ACC-DF-9126834-21477-2</t>
  </si>
  <si>
    <t>Mensalidade Stalink ACC-DF-9201965-75351-1</t>
  </si>
  <si>
    <t>Mensalidade Stalink ACC-1880742-49176-22</t>
  </si>
  <si>
    <t>Mensalidade Stalink ACC-DF-9611480-74403-95</t>
  </si>
  <si>
    <t>---</t>
  </si>
  <si>
    <t>Mensalidade Stalink ACC-DF-9897939-30744-20</t>
  </si>
  <si>
    <t>Mensalidade Stalink ACC-DF-10934066-42301-35</t>
  </si>
  <si>
    <t>Bosch Campinas - SP TT294069</t>
  </si>
  <si>
    <t>09:30 - 10:00</t>
  </si>
  <si>
    <t>Flavio</t>
  </si>
  <si>
    <t>TWS.5519.A009</t>
  </si>
  <si>
    <t>Evonik Castro - PR PID15269</t>
  </si>
  <si>
    <t>Guilherme</t>
  </si>
  <si>
    <t>TBR.5542.A019</t>
  </si>
  <si>
    <t>Evonik Castro - PR PID15268</t>
  </si>
  <si>
    <t>Envio de equipamento OY684401948BR R$42,60</t>
  </si>
  <si>
    <t>TBR.5542.A018</t>
  </si>
  <si>
    <t>TJSP Nazare Paulista - SP PID14991</t>
  </si>
  <si>
    <t xml:space="preserve">	TBR.5511.A031</t>
  </si>
  <si>
    <t>Itau Esteio - RS PID13596</t>
  </si>
  <si>
    <t>Envio de equipamento QC963898536BR R$42,60</t>
  </si>
  <si>
    <t>TBR.5551.A032</t>
  </si>
  <si>
    <t>12:30 - 13:00</t>
  </si>
  <si>
    <t>Izabella</t>
  </si>
  <si>
    <t>EM Jose Moreira da Silva  Rio de Janeiro - RJ TT293972</t>
  </si>
  <si>
    <t>13:30 - 16:00</t>
  </si>
  <si>
    <t>Izzo</t>
  </si>
  <si>
    <t>Chip Vivo R$30,00</t>
  </si>
  <si>
    <t>EMB.5521.A030</t>
  </si>
  <si>
    <t>Bradesco Salvador - BA TT294861</t>
  </si>
  <si>
    <t>14:30 - 16:30</t>
  </si>
  <si>
    <t>TXB.5571.A006</t>
  </si>
  <si>
    <t>PRF Roseira - SP TT295252</t>
  </si>
  <si>
    <t>12:30 - 13:30</t>
  </si>
  <si>
    <t>EMB.5512.A011</t>
  </si>
  <si>
    <t>CM Vila Kennedy Rio de Janeiro - RJ PID14198</t>
  </si>
  <si>
    <t>EMB.5521.A044</t>
  </si>
  <si>
    <t>EM Maria Quiteria Rio de Janeiro - RJ PID14210</t>
  </si>
  <si>
    <t>EM Marechal Alcides Etchegoyen Rio de Janeiro - RJ PID14197</t>
  </si>
  <si>
    <t>EMB.5521.A043</t>
  </si>
  <si>
    <t>EDI Vila Kennedy Rio de Janeiro - RJ PID14200</t>
  </si>
  <si>
    <t>11:00 - 11:30</t>
  </si>
  <si>
    <t>EMB.5521.A046</t>
  </si>
  <si>
    <t>EM Coronel Jose Gomes Moreira Rio de Janeiro - RJ PID14199</t>
  </si>
  <si>
    <t>12:00 - 14:30</t>
  </si>
  <si>
    <t>Envio de equipamento QN105992756BR R$48,60</t>
  </si>
  <si>
    <t>EMB.5521.A045</t>
  </si>
  <si>
    <t>Fitch Rio de Janeiro - RJ PID14148</t>
  </si>
  <si>
    <t>12:00 - 13:00</t>
  </si>
  <si>
    <t>Envio de equipamento QC926166069BR R$42,60</t>
  </si>
  <si>
    <t>TWS.5521.A018</t>
  </si>
  <si>
    <t>Pepsico Viana - ES PID10676</t>
  </si>
  <si>
    <t>Jeremias</t>
  </si>
  <si>
    <t>Envio de equipamento QN807453104BR R$42,60</t>
  </si>
  <si>
    <t>VZB.5527.A003</t>
  </si>
  <si>
    <t>PRF Itapecerica da Serra - SP PID15345</t>
  </si>
  <si>
    <t>09:00 - 10:00</t>
  </si>
  <si>
    <t>EMB.5511.A028</t>
  </si>
  <si>
    <t>CEF Sales Oliveira - SP PID15795</t>
  </si>
  <si>
    <t>13:00 - 14:00</t>
  </si>
  <si>
    <t>TBR.5516.A068</t>
  </si>
  <si>
    <t>G2L Logistica Mogi das Cruzes - SP PID15667</t>
  </si>
  <si>
    <t>EMB.5511.A058</t>
  </si>
  <si>
    <t>09:30 - 11:30</t>
  </si>
  <si>
    <t>CEF Tapiratiba - SP PID15796</t>
  </si>
  <si>
    <t>TBR.5519.A014</t>
  </si>
  <si>
    <t>BarryCallebaut São Paulo - SP PID15327</t>
  </si>
  <si>
    <t>GTT.5511.A041</t>
  </si>
  <si>
    <t>Vivo DC Recife - PE PID14118</t>
  </si>
  <si>
    <t>Kaio</t>
  </si>
  <si>
    <t>TBR.5581.N002</t>
  </si>
  <si>
    <t>09:30 - 13:00</t>
  </si>
  <si>
    <t>Embratel Goiania - GO PID15633</t>
  </si>
  <si>
    <t>EMB.5562.N001</t>
  </si>
  <si>
    <t>ELEA BSB1 Brasilia - DF Tech Activity19029</t>
  </si>
  <si>
    <t>09:30 - 13:30</t>
  </si>
  <si>
    <t>Luciana</t>
  </si>
  <si>
    <t>ELEA BSB1 Brasilia - DF Tech Activity19044</t>
  </si>
  <si>
    <t>10:30 - 12:30</t>
  </si>
  <si>
    <t>Cabo de Energia R$35,00</t>
  </si>
  <si>
    <t>G8 Telecom Goiania - GO Tech Activity19067</t>
  </si>
  <si>
    <t>13:00 - 15:00</t>
  </si>
  <si>
    <t>Envio de equipamento QN873781358BR R$452,80</t>
  </si>
  <si>
    <t>CNF2 Belo Horizonte - MG Tech Activity19106</t>
  </si>
  <si>
    <t>CNF2 Belo Horizonte - MG Tech Activity 19119</t>
  </si>
  <si>
    <t>02:30 - 05:30</t>
  </si>
  <si>
    <t>10:00 - 13:00</t>
  </si>
  <si>
    <t>Marlon</t>
  </si>
  <si>
    <t>Bayer Cachoeira Dourada - MG TT294725</t>
  </si>
  <si>
    <t>10:30 - 11:30</t>
  </si>
  <si>
    <t>Travessia de Balsa R$180</t>
  </si>
  <si>
    <t>VZB.5534.A008</t>
  </si>
  <si>
    <t>Itau Caçapava - SP PID13207</t>
  </si>
  <si>
    <t>Matheus</t>
  </si>
  <si>
    <t>Envio de equipamento QN791796413BR R$68,20</t>
  </si>
  <si>
    <t>EMB.5512.A025</t>
  </si>
  <si>
    <t>Itau Palmopolis - MG PID15632</t>
  </si>
  <si>
    <t>Mauricio</t>
  </si>
  <si>
    <t>EMB.5533.A014</t>
  </si>
  <si>
    <t>11:00 - 13:30</t>
  </si>
  <si>
    <t>CEF Caconde - SP PID15794</t>
  </si>
  <si>
    <t>TBR.5519.A013</t>
  </si>
  <si>
    <t>Cruzilia - MG PID15595</t>
  </si>
  <si>
    <t>EMB.5535.A018</t>
  </si>
  <si>
    <t>15:30 - 17:00</t>
  </si>
  <si>
    <t>Inea Nova Iguaçu - RJ PID15855</t>
  </si>
  <si>
    <t>11:30 - 12:30</t>
  </si>
  <si>
    <t>EMB.5517.A013</t>
  </si>
  <si>
    <t>Bayer Luis Eduardo Magalhaes - BA PID15781</t>
  </si>
  <si>
    <t>14:00 - 15:30</t>
  </si>
  <si>
    <t>VZB.5577.D001</t>
  </si>
  <si>
    <t>CEF Ituverava - SP PID15791</t>
  </si>
  <si>
    <t>TBR.5516.A065</t>
  </si>
  <si>
    <t>CEF Guara - SP PID15797</t>
  </si>
  <si>
    <t>TBR.5516.A069</t>
  </si>
  <si>
    <t>CEF Morro Agudo - SP PID15793</t>
  </si>
  <si>
    <t>13:30 - 14:30</t>
  </si>
  <si>
    <t>TBR.5516.A067</t>
  </si>
  <si>
    <t>Patrick</t>
  </si>
  <si>
    <t>Zoetis Campinas - SP TT296419</t>
  </si>
  <si>
    <t>VZB.5519.A010</t>
  </si>
  <si>
    <t>Torrent Pharma - São Paulo - SP TT294670</t>
  </si>
  <si>
    <t>09:00 - 13:00</t>
  </si>
  <si>
    <t>Rene</t>
  </si>
  <si>
    <t>ART.5511.A001</t>
  </si>
  <si>
    <t>Youtility Jacarei - SP PID15808</t>
  </si>
  <si>
    <t>EMB.5512.A026</t>
  </si>
  <si>
    <t>Pepsico Petrolina - PE PID15217</t>
  </si>
  <si>
    <t>Rodolfo</t>
  </si>
  <si>
    <t>Envio de equipamento QN760334464BR R$138,20</t>
  </si>
  <si>
    <t>VZB.5587.A001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</si>
</sst>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_-&quot;R$&quot;* #,##0.00_-;\-&quot;R$&quot;* #,##0.00_-;_-&quot;R$&quot;* &quot;-&quot;??_-;_-@_-"/>
  </numFmts>
  <fonts count="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1"/>
      <color theme="1"/>
      <name val="Arial"/>
      <family val="2"/>
    </font>
    <font>
      <sz val="11"/>
      <color rgb="FF333333"/>
      <name val="Gibson-SemiBold"/>
    </font>
  </fonts>
  <fills count="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7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44" fontId="3" fillId="3" borderId="1" xfId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14" fontId="1" fillId="4" borderId="1" xfId="0" applyNumberFormat="1" applyFont="1" applyFill="1" applyBorder="1" applyAlignment="1">
      <alignment horizontal="center" vertical="center"/>
    </xf>
    <xf numFmtId="20" fontId="1" fillId="4" borderId="1" xfId="0" applyNumberFormat="1" applyFont="1" applyFill="1" applyBorder="1" applyAlignment="1">
      <alignment horizontal="center" vertical="center"/>
    </xf>
    <xf numFmtId="44" fontId="1" fillId="4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0" fontId="0" fillId="4" borderId="1" xfId="0" applyFill="1" applyBorder="1"/>
    <xf numFmtId="0" fontId="0" fillId="5" borderId="0" xfId="0" applyFill="1"/>
    <xf numFmtId="0" fontId="0" fillId="4" borderId="0" xfId="0" applyFill="1"/>
    <xf numFmtId="0" fontId="5" fillId="4" borderId="1" xfId="0" applyFont="1" applyFill="1" applyBorder="1"/>
    <xf numFmtId="0" fontId="1" fillId="4" borderId="1" xfId="0" quotePrefix="1" applyFont="1" applyFill="1" applyBorder="1" applyAlignment="1">
      <alignment horizontal="center" vertical="center"/>
    </xf>
    <xf numFmtId="0" fontId="0" fillId="4" borderId="1" xfId="0" applyFill="1" applyBorder="1" applyAlignment="1">
      <alignment horizontal="left" vertical="top"/>
    </xf>
    <xf numFmtId="0" fontId="6" fillId="4" borderId="0" xfId="0" applyFont="1" applyFill="1" applyAlignment="1">
      <alignment horizontal="left" vertical="center"/>
    </xf>
    <xf numFmtId="0" fontId="0" fillId="4" borderId="1" xfId="0" applyFill="1" applyBorder="1" applyAlignment="1">
      <alignment horizontal="left" vertic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45601-195E-4F5C-B8AE-5B8DB782C876}">
  <dimension ref="A1:O101"/>
  <sheetViews>
    <sheetView tabSelected="1" topLeftCell="F1" workbookViewId="0">
      <selection activeCell="P1" sqref="P1:P1048576"/>
    </sheetView>
  </sheetViews>
  <sheetFormatPr defaultRowHeight="14.4"/>
  <cols>
    <col min="1" max="1" width="51.88671875" customWidth="1"/>
    <col min="2" max="2" width="11.88671875" customWidth="1"/>
    <col min="3" max="3" width="19.6640625" customWidth="1"/>
    <col min="4" max="4" width="20.77734375" customWidth="1"/>
    <col min="5" max="5" width="20.5546875" customWidth="1"/>
    <col min="6" max="6" width="63.33203125" customWidth="1"/>
    <col min="7" max="7" width="18.44140625" customWidth="1"/>
    <col min="8" max="8" width="19.33203125" customWidth="1"/>
    <col min="9" max="9" width="12.109375" customWidth="1"/>
    <col min="10" max="10" width="14" customWidth="1"/>
    <col min="11" max="11" width="15" customWidth="1"/>
    <col min="12" max="12" width="18.44140625" customWidth="1"/>
    <col min="13" max="14" width="18.5546875" customWidth="1"/>
    <col min="15" max="15" width="16.77734375" customWidth="1"/>
  </cols>
  <sheetData>
    <row r="1" spans="1:15" ht="2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s="10" customFormat="1">
      <c r="A2" s="4" t="s">
        <v>15</v>
      </c>
      <c r="B2" s="5">
        <v>46051</v>
      </c>
      <c r="C2" s="4" t="s">
        <v>16</v>
      </c>
      <c r="D2" s="4" t="s">
        <v>17</v>
      </c>
      <c r="E2" s="4"/>
      <c r="F2" s="4" t="s">
        <v>18</v>
      </c>
      <c r="G2" s="6">
        <v>4.1666666666666664E-2</v>
      </c>
      <c r="H2" s="7">
        <v>138.19999999999999</v>
      </c>
      <c r="I2" s="8"/>
      <c r="J2" s="7"/>
      <c r="K2" s="7">
        <v>180</v>
      </c>
      <c r="L2" s="8"/>
      <c r="M2" s="8">
        <f t="shared" ref="M2:M65" si="0">H2+I2+J2+K2+L2</f>
        <v>318.2</v>
      </c>
      <c r="N2" s="8">
        <f>K2+L2</f>
        <v>180</v>
      </c>
      <c r="O2" s="9" t="s">
        <v>19</v>
      </c>
    </row>
    <row r="3" spans="1:15" s="11" customFormat="1">
      <c r="A3" s="4" t="s">
        <v>20</v>
      </c>
      <c r="B3" s="5">
        <v>46028</v>
      </c>
      <c r="C3" s="6" t="s">
        <v>21</v>
      </c>
      <c r="D3" s="4" t="s">
        <v>22</v>
      </c>
      <c r="E3" s="4">
        <v>36</v>
      </c>
      <c r="F3" s="4"/>
      <c r="G3" s="6">
        <v>4.1666666666666664E-2</v>
      </c>
      <c r="H3" s="7"/>
      <c r="I3" s="8">
        <v>54</v>
      </c>
      <c r="J3" s="7"/>
      <c r="K3" s="7">
        <v>180</v>
      </c>
      <c r="L3" s="8">
        <v>120</v>
      </c>
      <c r="M3" s="7">
        <f t="shared" si="0"/>
        <v>354</v>
      </c>
      <c r="N3" s="8">
        <f t="shared" ref="N3:N66" si="1">K3+L3</f>
        <v>300</v>
      </c>
      <c r="O3" s="9" t="s">
        <v>23</v>
      </c>
    </row>
    <row r="4" spans="1:15" s="11" customFormat="1">
      <c r="A4" s="4" t="s">
        <v>24</v>
      </c>
      <c r="B4" s="5">
        <v>46029</v>
      </c>
      <c r="C4" s="4" t="s">
        <v>25</v>
      </c>
      <c r="D4" s="4" t="s">
        <v>22</v>
      </c>
      <c r="E4" s="4">
        <v>36</v>
      </c>
      <c r="F4" s="4"/>
      <c r="G4" s="6">
        <v>4.1666666666666664E-2</v>
      </c>
      <c r="H4" s="7"/>
      <c r="I4" s="8">
        <v>54</v>
      </c>
      <c r="J4" s="4"/>
      <c r="K4" s="7">
        <v>180</v>
      </c>
      <c r="L4" s="7">
        <v>60</v>
      </c>
      <c r="M4" s="8">
        <f t="shared" si="0"/>
        <v>294</v>
      </c>
      <c r="N4" s="8">
        <f t="shared" si="1"/>
        <v>240</v>
      </c>
      <c r="O4" s="9" t="s">
        <v>26</v>
      </c>
    </row>
    <row r="5" spans="1:15">
      <c r="A5" s="4" t="s">
        <v>27</v>
      </c>
      <c r="B5" s="5">
        <v>46029</v>
      </c>
      <c r="C5" s="4" t="s">
        <v>28</v>
      </c>
      <c r="D5" s="4" t="s">
        <v>22</v>
      </c>
      <c r="E5" s="4">
        <v>84</v>
      </c>
      <c r="F5" s="4"/>
      <c r="G5" s="6">
        <v>4.1666666666666664E-2</v>
      </c>
      <c r="H5" s="7"/>
      <c r="I5" s="8">
        <v>126</v>
      </c>
      <c r="J5" s="7"/>
      <c r="K5" s="7">
        <v>180</v>
      </c>
      <c r="L5" s="8"/>
      <c r="M5" s="8">
        <f t="shared" si="0"/>
        <v>306</v>
      </c>
      <c r="N5" s="8">
        <f t="shared" si="1"/>
        <v>180</v>
      </c>
      <c r="O5" s="9" t="s">
        <v>29</v>
      </c>
    </row>
    <row r="6" spans="1:15">
      <c r="A6" s="4" t="s">
        <v>30</v>
      </c>
      <c r="B6" s="5">
        <v>46029</v>
      </c>
      <c r="C6" s="4" t="s">
        <v>31</v>
      </c>
      <c r="D6" s="4" t="s">
        <v>22</v>
      </c>
      <c r="E6" s="4"/>
      <c r="F6" s="4" t="s">
        <v>32</v>
      </c>
      <c r="G6" s="6">
        <v>8.3333333333333329E-2</v>
      </c>
      <c r="H6" s="7"/>
      <c r="I6" s="8"/>
      <c r="J6" s="7"/>
      <c r="K6" s="7">
        <v>180</v>
      </c>
      <c r="L6" s="7"/>
      <c r="M6" s="8">
        <f t="shared" si="0"/>
        <v>180</v>
      </c>
      <c r="N6" s="8">
        <f t="shared" si="1"/>
        <v>180</v>
      </c>
      <c r="O6" s="9" t="s">
        <v>33</v>
      </c>
    </row>
    <row r="7" spans="1:15">
      <c r="A7" s="4" t="s">
        <v>20</v>
      </c>
      <c r="B7" s="5">
        <v>46034</v>
      </c>
      <c r="C7" s="6" t="s">
        <v>34</v>
      </c>
      <c r="D7" s="4" t="s">
        <v>22</v>
      </c>
      <c r="E7" s="4">
        <v>36</v>
      </c>
      <c r="F7" s="4" t="s">
        <v>35</v>
      </c>
      <c r="G7" s="6">
        <v>0.10416666666666667</v>
      </c>
      <c r="H7" s="8">
        <v>65</v>
      </c>
      <c r="I7" s="8">
        <v>54</v>
      </c>
      <c r="J7" s="7"/>
      <c r="K7" s="7">
        <v>180</v>
      </c>
      <c r="L7" s="8">
        <v>540</v>
      </c>
      <c r="M7" s="8">
        <f t="shared" si="0"/>
        <v>839</v>
      </c>
      <c r="N7" s="8">
        <f t="shared" si="1"/>
        <v>720</v>
      </c>
      <c r="O7" s="9" t="s">
        <v>23</v>
      </c>
    </row>
    <row r="8" spans="1:15">
      <c r="A8" s="4" t="s">
        <v>36</v>
      </c>
      <c r="B8" s="5">
        <v>46036</v>
      </c>
      <c r="C8" s="4" t="s">
        <v>37</v>
      </c>
      <c r="D8" s="4" t="s">
        <v>22</v>
      </c>
      <c r="E8" s="4"/>
      <c r="F8" s="4"/>
      <c r="G8" s="6">
        <v>8.3333333333333329E-2</v>
      </c>
      <c r="H8" s="8"/>
      <c r="I8" s="8"/>
      <c r="J8" s="4"/>
      <c r="K8" s="7">
        <v>180</v>
      </c>
      <c r="L8" s="7">
        <v>60</v>
      </c>
      <c r="M8" s="8">
        <f t="shared" si="0"/>
        <v>240</v>
      </c>
      <c r="N8" s="8">
        <f t="shared" si="1"/>
        <v>240</v>
      </c>
      <c r="O8" s="12" t="s">
        <v>38</v>
      </c>
    </row>
    <row r="9" spans="1:15">
      <c r="A9" s="4" t="s">
        <v>39</v>
      </c>
      <c r="B9" s="5">
        <v>46037</v>
      </c>
      <c r="C9" s="4" t="s">
        <v>40</v>
      </c>
      <c r="D9" s="4" t="s">
        <v>22</v>
      </c>
      <c r="E9" s="4">
        <v>38</v>
      </c>
      <c r="F9" s="4" t="s">
        <v>32</v>
      </c>
      <c r="G9" s="6">
        <v>8.3333333333333329E-2</v>
      </c>
      <c r="H9" s="7">
        <v>30</v>
      </c>
      <c r="I9" s="8">
        <v>57</v>
      </c>
      <c r="J9" s="7"/>
      <c r="K9" s="7">
        <v>180</v>
      </c>
      <c r="L9" s="8">
        <v>240</v>
      </c>
      <c r="M9" s="8">
        <f t="shared" si="0"/>
        <v>507</v>
      </c>
      <c r="N9" s="8">
        <f t="shared" si="1"/>
        <v>420</v>
      </c>
      <c r="O9" s="12" t="s">
        <v>41</v>
      </c>
    </row>
    <row r="10" spans="1:15">
      <c r="A10" s="4" t="s">
        <v>42</v>
      </c>
      <c r="B10" s="5">
        <v>46038</v>
      </c>
      <c r="C10" s="4" t="s">
        <v>43</v>
      </c>
      <c r="D10" s="4" t="s">
        <v>22</v>
      </c>
      <c r="E10" s="4">
        <v>68</v>
      </c>
      <c r="F10" s="4" t="s">
        <v>44</v>
      </c>
      <c r="G10" s="6">
        <v>8.3333333333333329E-2</v>
      </c>
      <c r="H10" s="7">
        <v>42.1</v>
      </c>
      <c r="I10" s="8">
        <v>102</v>
      </c>
      <c r="J10" s="7"/>
      <c r="K10" s="7">
        <v>180</v>
      </c>
      <c r="L10" s="8">
        <v>180</v>
      </c>
      <c r="M10" s="8">
        <f t="shared" si="0"/>
        <v>504.1</v>
      </c>
      <c r="N10" s="8">
        <f t="shared" si="1"/>
        <v>360</v>
      </c>
      <c r="O10" s="12" t="s">
        <v>45</v>
      </c>
    </row>
    <row r="11" spans="1:15">
      <c r="A11" s="4" t="s">
        <v>46</v>
      </c>
      <c r="B11" s="5">
        <v>46049</v>
      </c>
      <c r="C11" s="4" t="s">
        <v>47</v>
      </c>
      <c r="D11" s="4" t="s">
        <v>22</v>
      </c>
      <c r="E11" s="4"/>
      <c r="F11" s="4"/>
      <c r="G11" s="6">
        <v>6.25E-2</v>
      </c>
      <c r="H11" s="7"/>
      <c r="I11" s="8"/>
      <c r="J11" s="7"/>
      <c r="K11" s="7">
        <v>180</v>
      </c>
      <c r="L11" s="8"/>
      <c r="M11" s="7">
        <f t="shared" si="0"/>
        <v>180</v>
      </c>
      <c r="N11" s="8">
        <f t="shared" si="1"/>
        <v>180</v>
      </c>
      <c r="O11" s="12" t="s">
        <v>48</v>
      </c>
    </row>
    <row r="12" spans="1:15">
      <c r="A12" s="4" t="s">
        <v>49</v>
      </c>
      <c r="B12" s="5">
        <v>46052</v>
      </c>
      <c r="C12" s="4" t="s">
        <v>50</v>
      </c>
      <c r="D12" s="4" t="s">
        <v>22</v>
      </c>
      <c r="E12" s="4"/>
      <c r="F12" s="4"/>
      <c r="G12" s="6">
        <v>6.25E-2</v>
      </c>
      <c r="H12" s="7"/>
      <c r="I12" s="8"/>
      <c r="J12" s="4"/>
      <c r="K12" s="7">
        <v>180</v>
      </c>
      <c r="L12" s="8"/>
      <c r="M12" s="8">
        <f t="shared" si="0"/>
        <v>180</v>
      </c>
      <c r="N12" s="8">
        <f t="shared" si="1"/>
        <v>180</v>
      </c>
      <c r="O12" s="12" t="s">
        <v>51</v>
      </c>
    </row>
    <row r="13" spans="1:15">
      <c r="A13" s="4" t="s">
        <v>52</v>
      </c>
      <c r="B13" s="5">
        <v>46028</v>
      </c>
      <c r="C13" s="4" t="s">
        <v>53</v>
      </c>
      <c r="D13" s="4" t="s">
        <v>54</v>
      </c>
      <c r="E13" s="4">
        <v>40</v>
      </c>
      <c r="F13" s="4" t="s">
        <v>55</v>
      </c>
      <c r="G13" s="6">
        <v>0.16666666666666666</v>
      </c>
      <c r="H13" s="8">
        <v>40</v>
      </c>
      <c r="I13" s="8">
        <v>60</v>
      </c>
      <c r="J13" s="4"/>
      <c r="K13" s="8">
        <v>180</v>
      </c>
      <c r="L13" s="8"/>
      <c r="M13" s="8">
        <f t="shared" si="0"/>
        <v>280</v>
      </c>
      <c r="N13" s="8">
        <f t="shared" si="1"/>
        <v>180</v>
      </c>
      <c r="O13" s="12" t="s">
        <v>56</v>
      </c>
    </row>
    <row r="14" spans="1:15">
      <c r="A14" s="4" t="s">
        <v>57</v>
      </c>
      <c r="B14" s="5">
        <v>46029</v>
      </c>
      <c r="C14" s="4" t="s">
        <v>58</v>
      </c>
      <c r="D14" s="4" t="s">
        <v>54</v>
      </c>
      <c r="E14" s="4">
        <v>130</v>
      </c>
      <c r="F14" s="4" t="s">
        <v>59</v>
      </c>
      <c r="G14" s="6">
        <v>0.5</v>
      </c>
      <c r="H14" s="7">
        <v>42.6</v>
      </c>
      <c r="I14" s="8">
        <v>195</v>
      </c>
      <c r="J14" s="7">
        <v>36</v>
      </c>
      <c r="K14" s="7">
        <v>180</v>
      </c>
      <c r="L14" s="8">
        <v>120</v>
      </c>
      <c r="M14" s="8">
        <f t="shared" si="0"/>
        <v>573.6</v>
      </c>
      <c r="N14" s="8">
        <f t="shared" si="1"/>
        <v>300</v>
      </c>
      <c r="O14" s="12" t="s">
        <v>60</v>
      </c>
    </row>
    <row r="15" spans="1:15">
      <c r="A15" s="4" t="s">
        <v>61</v>
      </c>
      <c r="B15" s="5">
        <v>46030</v>
      </c>
      <c r="C15" s="4" t="s">
        <v>31</v>
      </c>
      <c r="D15" s="4" t="s">
        <v>54</v>
      </c>
      <c r="E15" s="4"/>
      <c r="F15" s="4"/>
      <c r="G15" s="6">
        <v>4.1666666666666664E-2</v>
      </c>
      <c r="H15" s="8"/>
      <c r="I15" s="8"/>
      <c r="J15" s="7"/>
      <c r="K15" s="7">
        <v>180</v>
      </c>
      <c r="L15" s="7">
        <v>120</v>
      </c>
      <c r="M15" s="8">
        <f t="shared" si="0"/>
        <v>300</v>
      </c>
      <c r="N15" s="8">
        <f t="shared" si="1"/>
        <v>300</v>
      </c>
      <c r="O15" s="12" t="s">
        <v>62</v>
      </c>
    </row>
    <row r="16" spans="1:15">
      <c r="A16" s="4" t="s">
        <v>63</v>
      </c>
      <c r="B16" s="5">
        <v>46034</v>
      </c>
      <c r="C16" s="4" t="s">
        <v>64</v>
      </c>
      <c r="D16" s="4" t="s">
        <v>54</v>
      </c>
      <c r="E16" s="4">
        <v>60</v>
      </c>
      <c r="F16" s="4"/>
      <c r="G16" s="6">
        <v>8.3333333333333329E-2</v>
      </c>
      <c r="H16" s="8"/>
      <c r="I16" s="8"/>
      <c r="J16" s="7"/>
      <c r="K16" s="7">
        <v>180</v>
      </c>
      <c r="L16" s="8">
        <v>120</v>
      </c>
      <c r="M16" s="8">
        <f t="shared" si="0"/>
        <v>300</v>
      </c>
      <c r="N16" s="8">
        <f t="shared" si="1"/>
        <v>300</v>
      </c>
      <c r="O16" s="12" t="s">
        <v>65</v>
      </c>
    </row>
    <row r="17" spans="1:15">
      <c r="A17" s="4" t="s">
        <v>66</v>
      </c>
      <c r="B17" s="5">
        <v>46037</v>
      </c>
      <c r="C17" s="4" t="s">
        <v>67</v>
      </c>
      <c r="D17" s="4" t="s">
        <v>54</v>
      </c>
      <c r="E17" s="4">
        <v>120</v>
      </c>
      <c r="F17" s="4"/>
      <c r="G17" s="6">
        <v>4.1666666666666664E-2</v>
      </c>
      <c r="H17" s="7"/>
      <c r="I17" s="8">
        <v>180</v>
      </c>
      <c r="J17" s="4">
        <v>54</v>
      </c>
      <c r="K17" s="8">
        <v>180</v>
      </c>
      <c r="L17" s="8">
        <v>240</v>
      </c>
      <c r="M17" s="8">
        <f t="shared" si="0"/>
        <v>654</v>
      </c>
      <c r="N17" s="8">
        <f t="shared" si="1"/>
        <v>420</v>
      </c>
      <c r="O17" s="12" t="s">
        <v>68</v>
      </c>
    </row>
    <row r="18" spans="1:15">
      <c r="A18" s="4" t="s">
        <v>69</v>
      </c>
      <c r="B18" s="5">
        <v>46042</v>
      </c>
      <c r="C18" s="4" t="s">
        <v>47</v>
      </c>
      <c r="D18" s="4" t="s">
        <v>54</v>
      </c>
      <c r="E18" s="4">
        <v>40</v>
      </c>
      <c r="F18" s="4"/>
      <c r="G18" s="6">
        <v>4.1666666666666664E-2</v>
      </c>
      <c r="H18" s="8"/>
      <c r="I18" s="8">
        <v>60</v>
      </c>
      <c r="J18" s="4"/>
      <c r="K18" s="7">
        <v>180</v>
      </c>
      <c r="L18" s="8"/>
      <c r="M18" s="8">
        <f t="shared" si="0"/>
        <v>240</v>
      </c>
      <c r="N18" s="8">
        <f t="shared" si="1"/>
        <v>180</v>
      </c>
      <c r="O18" s="12" t="s">
        <v>56</v>
      </c>
    </row>
    <row r="19" spans="1:15">
      <c r="A19" s="4" t="s">
        <v>70</v>
      </c>
      <c r="B19" s="5">
        <v>46048</v>
      </c>
      <c r="C19" s="4" t="s">
        <v>71</v>
      </c>
      <c r="D19" s="4" t="s">
        <v>54</v>
      </c>
      <c r="E19" s="4"/>
      <c r="F19" s="4" t="s">
        <v>32</v>
      </c>
      <c r="G19" s="6">
        <v>8.3333333333333329E-2</v>
      </c>
      <c r="H19" s="7">
        <v>30</v>
      </c>
      <c r="I19" s="8"/>
      <c r="J19" s="7"/>
      <c r="K19" s="7">
        <v>180</v>
      </c>
      <c r="L19" s="8">
        <v>210</v>
      </c>
      <c r="M19" s="8">
        <f t="shared" si="0"/>
        <v>420</v>
      </c>
      <c r="N19" s="8">
        <f t="shared" si="1"/>
        <v>390</v>
      </c>
      <c r="O19" s="12" t="s">
        <v>72</v>
      </c>
    </row>
    <row r="20" spans="1:15">
      <c r="A20" s="4" t="s">
        <v>73</v>
      </c>
      <c r="B20" s="5">
        <v>46049</v>
      </c>
      <c r="C20" s="4" t="s">
        <v>74</v>
      </c>
      <c r="D20" s="4" t="s">
        <v>54</v>
      </c>
      <c r="E20" s="4">
        <v>125</v>
      </c>
      <c r="F20" s="4"/>
      <c r="G20" s="6">
        <v>0.10416666666666667</v>
      </c>
      <c r="H20" s="7"/>
      <c r="I20" s="8">
        <v>187.5</v>
      </c>
      <c r="J20" s="7"/>
      <c r="K20" s="7">
        <v>180</v>
      </c>
      <c r="L20" s="7"/>
      <c r="M20" s="8">
        <f t="shared" si="0"/>
        <v>367.5</v>
      </c>
      <c r="N20" s="8">
        <f t="shared" si="1"/>
        <v>180</v>
      </c>
      <c r="O20" s="9" t="s">
        <v>75</v>
      </c>
    </row>
    <row r="21" spans="1:15">
      <c r="A21" s="4" t="s">
        <v>76</v>
      </c>
      <c r="B21" s="5">
        <v>46034</v>
      </c>
      <c r="C21" s="4" t="s">
        <v>77</v>
      </c>
      <c r="D21" s="4" t="s">
        <v>78</v>
      </c>
      <c r="E21" s="4"/>
      <c r="F21" s="4"/>
      <c r="G21" s="6">
        <v>4.1666666666666664E-2</v>
      </c>
      <c r="H21" s="8"/>
      <c r="I21" s="8"/>
      <c r="J21" s="7"/>
      <c r="K21" s="7">
        <v>180</v>
      </c>
      <c r="L21" s="8"/>
      <c r="M21" s="8">
        <f t="shared" si="0"/>
        <v>180</v>
      </c>
      <c r="N21" s="8">
        <f t="shared" si="1"/>
        <v>180</v>
      </c>
      <c r="O21" s="9" t="s">
        <v>79</v>
      </c>
    </row>
    <row r="22" spans="1:15">
      <c r="A22" s="4" t="s">
        <v>80</v>
      </c>
      <c r="B22" s="5">
        <v>46035</v>
      </c>
      <c r="C22" s="6" t="s">
        <v>81</v>
      </c>
      <c r="D22" s="4" t="s">
        <v>78</v>
      </c>
      <c r="E22" s="4"/>
      <c r="F22" s="4" t="s">
        <v>82</v>
      </c>
      <c r="G22" s="6">
        <v>4.1666666666666664E-2</v>
      </c>
      <c r="H22" s="8">
        <v>65.2</v>
      </c>
      <c r="I22" s="8"/>
      <c r="J22" s="4"/>
      <c r="K22" s="7">
        <v>180</v>
      </c>
      <c r="L22" s="7"/>
      <c r="M22" s="8">
        <f t="shared" si="0"/>
        <v>245.2</v>
      </c>
      <c r="N22" s="8">
        <f t="shared" si="1"/>
        <v>180</v>
      </c>
      <c r="O22" s="9" t="s">
        <v>83</v>
      </c>
    </row>
    <row r="23" spans="1:15">
      <c r="A23" s="4" t="s">
        <v>84</v>
      </c>
      <c r="B23" s="5">
        <v>46036</v>
      </c>
      <c r="C23" s="4" t="s">
        <v>85</v>
      </c>
      <c r="D23" s="4" t="s">
        <v>78</v>
      </c>
      <c r="E23" s="4">
        <v>48</v>
      </c>
      <c r="F23" s="4"/>
      <c r="G23" s="6">
        <v>4.1666666666666664E-2</v>
      </c>
      <c r="H23" s="7"/>
      <c r="I23" s="8">
        <v>72</v>
      </c>
      <c r="J23" s="7"/>
      <c r="K23" s="7">
        <v>180</v>
      </c>
      <c r="L23" s="8">
        <v>180</v>
      </c>
      <c r="M23" s="8">
        <f t="shared" si="0"/>
        <v>432</v>
      </c>
      <c r="N23" s="8">
        <f t="shared" si="1"/>
        <v>360</v>
      </c>
      <c r="O23" s="9" t="s">
        <v>86</v>
      </c>
    </row>
    <row r="24" spans="1:15">
      <c r="A24" s="4" t="s">
        <v>87</v>
      </c>
      <c r="B24" s="5">
        <v>46043</v>
      </c>
      <c r="C24" s="4" t="s">
        <v>88</v>
      </c>
      <c r="D24" s="4" t="s">
        <v>78</v>
      </c>
      <c r="E24" s="4"/>
      <c r="F24" s="4" t="s">
        <v>89</v>
      </c>
      <c r="G24" s="6">
        <v>4.1666666666666664E-2</v>
      </c>
      <c r="H24" s="7">
        <v>42.1</v>
      </c>
      <c r="I24" s="8"/>
      <c r="J24" s="7"/>
      <c r="K24" s="7">
        <v>180</v>
      </c>
      <c r="L24" s="8">
        <v>540</v>
      </c>
      <c r="M24" s="8">
        <f t="shared" si="0"/>
        <v>762.1</v>
      </c>
      <c r="N24" s="8">
        <f t="shared" si="1"/>
        <v>720</v>
      </c>
      <c r="O24" s="9" t="s">
        <v>90</v>
      </c>
    </row>
    <row r="25" spans="1:15">
      <c r="A25" s="4" t="s">
        <v>91</v>
      </c>
      <c r="B25" s="5">
        <v>46027</v>
      </c>
      <c r="C25" s="4" t="s">
        <v>92</v>
      </c>
      <c r="D25" s="4" t="s">
        <v>93</v>
      </c>
      <c r="E25" s="4">
        <v>40</v>
      </c>
      <c r="F25" s="4"/>
      <c r="G25" s="6">
        <v>4.1666666666666664E-2</v>
      </c>
      <c r="H25" s="8"/>
      <c r="I25" s="8">
        <v>60</v>
      </c>
      <c r="J25" s="4"/>
      <c r="K25" s="7">
        <v>180</v>
      </c>
      <c r="L25" s="7"/>
      <c r="M25" s="8">
        <f t="shared" si="0"/>
        <v>240</v>
      </c>
      <c r="N25" s="8">
        <f t="shared" si="1"/>
        <v>180</v>
      </c>
      <c r="O25" s="9" t="s">
        <v>94</v>
      </c>
    </row>
    <row r="26" spans="1:15">
      <c r="A26" s="4" t="s">
        <v>91</v>
      </c>
      <c r="B26" s="5">
        <v>46029</v>
      </c>
      <c r="C26" s="4" t="s">
        <v>95</v>
      </c>
      <c r="D26" s="4" t="s">
        <v>93</v>
      </c>
      <c r="E26" s="4">
        <v>40</v>
      </c>
      <c r="F26" s="4"/>
      <c r="G26" s="6">
        <v>8.3333333333333329E-2</v>
      </c>
      <c r="H26" s="8"/>
      <c r="I26" s="8">
        <v>60</v>
      </c>
      <c r="J26" s="4"/>
      <c r="K26" s="8">
        <v>180</v>
      </c>
      <c r="L26" s="8">
        <v>60</v>
      </c>
      <c r="M26" s="8">
        <f t="shared" si="0"/>
        <v>300</v>
      </c>
      <c r="N26" s="8">
        <f t="shared" si="1"/>
        <v>240</v>
      </c>
      <c r="O26" s="12" t="s">
        <v>94</v>
      </c>
    </row>
    <row r="27" spans="1:15">
      <c r="A27" s="4" t="s">
        <v>96</v>
      </c>
      <c r="B27" s="5">
        <v>46029</v>
      </c>
      <c r="C27" s="4" t="s">
        <v>97</v>
      </c>
      <c r="D27" s="4" t="s">
        <v>93</v>
      </c>
      <c r="E27" s="4">
        <v>1650</v>
      </c>
      <c r="F27" s="4" t="s">
        <v>32</v>
      </c>
      <c r="G27" s="6">
        <v>0.22916666666666666</v>
      </c>
      <c r="H27" s="8">
        <v>30</v>
      </c>
      <c r="I27" s="8">
        <v>2475</v>
      </c>
      <c r="J27" s="4">
        <v>160</v>
      </c>
      <c r="K27" s="7">
        <v>210</v>
      </c>
      <c r="L27" s="7">
        <v>1540</v>
      </c>
      <c r="M27" s="8">
        <f t="shared" si="0"/>
        <v>4415</v>
      </c>
      <c r="N27" s="8">
        <f t="shared" si="1"/>
        <v>1750</v>
      </c>
      <c r="O27" s="9" t="s">
        <v>98</v>
      </c>
    </row>
    <row r="28" spans="1:15">
      <c r="A28" s="4" t="s">
        <v>99</v>
      </c>
      <c r="B28" s="5">
        <v>46031</v>
      </c>
      <c r="C28" s="4" t="s">
        <v>74</v>
      </c>
      <c r="D28" s="4" t="s">
        <v>93</v>
      </c>
      <c r="E28" s="4">
        <v>60</v>
      </c>
      <c r="F28" s="4"/>
      <c r="G28" s="6">
        <v>8.3333333333333329E-2</v>
      </c>
      <c r="H28" s="8"/>
      <c r="I28" s="8">
        <v>90</v>
      </c>
      <c r="J28" s="7"/>
      <c r="K28" s="7">
        <v>180</v>
      </c>
      <c r="L28" s="8"/>
      <c r="M28" s="8">
        <f t="shared" si="0"/>
        <v>270</v>
      </c>
      <c r="N28" s="8">
        <f t="shared" si="1"/>
        <v>180</v>
      </c>
      <c r="O28" s="9" t="s">
        <v>98</v>
      </c>
    </row>
    <row r="29" spans="1:15">
      <c r="A29" s="4" t="s">
        <v>99</v>
      </c>
      <c r="B29" s="5">
        <v>46034</v>
      </c>
      <c r="C29" s="4" t="s">
        <v>74</v>
      </c>
      <c r="D29" s="4" t="s">
        <v>93</v>
      </c>
      <c r="E29" s="4">
        <v>60</v>
      </c>
      <c r="F29" s="4"/>
      <c r="G29" s="6">
        <v>4.1666666666666664E-2</v>
      </c>
      <c r="H29" s="8"/>
      <c r="I29" s="8">
        <v>90</v>
      </c>
      <c r="J29" s="7"/>
      <c r="K29" s="7">
        <v>180</v>
      </c>
      <c r="L29" s="8"/>
      <c r="M29" s="8">
        <f t="shared" si="0"/>
        <v>270</v>
      </c>
      <c r="N29" s="8">
        <f t="shared" si="1"/>
        <v>180</v>
      </c>
      <c r="O29" s="9" t="s">
        <v>98</v>
      </c>
    </row>
    <row r="30" spans="1:15">
      <c r="A30" s="5" t="s">
        <v>100</v>
      </c>
      <c r="B30" s="5">
        <v>46042</v>
      </c>
      <c r="C30" s="13" t="s">
        <v>101</v>
      </c>
      <c r="D30" s="4" t="s">
        <v>102</v>
      </c>
      <c r="E30" s="4"/>
      <c r="F30" s="4" t="s">
        <v>103</v>
      </c>
      <c r="G30" s="6">
        <v>4.1666666666666664E-2</v>
      </c>
      <c r="H30" s="8"/>
      <c r="I30" s="8"/>
      <c r="J30" s="7"/>
      <c r="K30" s="7">
        <v>3680</v>
      </c>
      <c r="L30" s="8"/>
      <c r="M30" s="8">
        <f t="shared" si="0"/>
        <v>3680</v>
      </c>
      <c r="N30" s="8">
        <f t="shared" si="1"/>
        <v>3680</v>
      </c>
      <c r="O30" s="14">
        <v>49103</v>
      </c>
    </row>
    <row r="31" spans="1:15">
      <c r="A31" s="4" t="s">
        <v>104</v>
      </c>
      <c r="B31" s="5">
        <v>46053</v>
      </c>
      <c r="C31" s="13" t="s">
        <v>101</v>
      </c>
      <c r="D31" s="4" t="s">
        <v>102</v>
      </c>
      <c r="E31" s="4"/>
      <c r="F31" s="4" t="s">
        <v>104</v>
      </c>
      <c r="G31" s="6">
        <v>0.125</v>
      </c>
      <c r="H31" s="8"/>
      <c r="I31" s="8"/>
      <c r="J31" s="7"/>
      <c r="K31" s="7">
        <v>305.39999999999998</v>
      </c>
      <c r="L31" s="8"/>
      <c r="M31" s="8">
        <f t="shared" si="0"/>
        <v>305.39999999999998</v>
      </c>
      <c r="N31" s="8">
        <f t="shared" si="1"/>
        <v>305.39999999999998</v>
      </c>
      <c r="O31" s="14">
        <v>46563</v>
      </c>
    </row>
    <row r="32" spans="1:15">
      <c r="A32" s="4" t="s">
        <v>105</v>
      </c>
      <c r="B32" s="5">
        <v>46053</v>
      </c>
      <c r="C32" s="13" t="s">
        <v>101</v>
      </c>
      <c r="D32" s="4" t="s">
        <v>102</v>
      </c>
      <c r="E32" s="4"/>
      <c r="F32" s="4" t="s">
        <v>105</v>
      </c>
      <c r="G32" s="6">
        <v>4.1666666666666664E-2</v>
      </c>
      <c r="H32" s="7"/>
      <c r="I32" s="8"/>
      <c r="J32" s="4"/>
      <c r="K32" s="8">
        <v>305.39999999999998</v>
      </c>
      <c r="L32" s="8"/>
      <c r="M32" s="8">
        <f t="shared" si="0"/>
        <v>305.39999999999998</v>
      </c>
      <c r="N32" s="8">
        <f t="shared" si="1"/>
        <v>305.39999999999998</v>
      </c>
      <c r="O32" s="14">
        <v>42981</v>
      </c>
    </row>
    <row r="33" spans="1:15">
      <c r="A33" s="4" t="s">
        <v>106</v>
      </c>
      <c r="B33" s="5">
        <v>46053</v>
      </c>
      <c r="C33" s="13" t="s">
        <v>101</v>
      </c>
      <c r="D33" s="4" t="s">
        <v>102</v>
      </c>
      <c r="E33" s="4"/>
      <c r="F33" s="4" t="s">
        <v>106</v>
      </c>
      <c r="G33" s="6">
        <v>4.1666666666666664E-2</v>
      </c>
      <c r="H33" s="8"/>
      <c r="I33" s="8"/>
      <c r="J33" s="7"/>
      <c r="K33" s="7">
        <v>305.39999999999998</v>
      </c>
      <c r="L33" s="8"/>
      <c r="M33" s="8">
        <f t="shared" si="0"/>
        <v>305.39999999999998</v>
      </c>
      <c r="N33" s="8">
        <f t="shared" si="1"/>
        <v>305.39999999999998</v>
      </c>
      <c r="O33" s="14">
        <v>42974</v>
      </c>
    </row>
    <row r="34" spans="1:15">
      <c r="A34" s="4" t="s">
        <v>107</v>
      </c>
      <c r="B34" s="5">
        <v>46053</v>
      </c>
      <c r="C34" s="13" t="s">
        <v>101</v>
      </c>
      <c r="D34" s="4" t="s">
        <v>102</v>
      </c>
      <c r="E34" s="4"/>
      <c r="F34" s="4" t="s">
        <v>107</v>
      </c>
      <c r="G34" s="6">
        <v>0.14583333333333334</v>
      </c>
      <c r="H34" s="7"/>
      <c r="I34" s="8"/>
      <c r="J34" s="4"/>
      <c r="K34" s="8">
        <v>305.39999999999998</v>
      </c>
      <c r="L34" s="8"/>
      <c r="M34" s="8">
        <f t="shared" si="0"/>
        <v>305.39999999999998</v>
      </c>
      <c r="N34" s="8">
        <f t="shared" si="1"/>
        <v>305.39999999999998</v>
      </c>
      <c r="O34" s="14">
        <v>34191</v>
      </c>
    </row>
    <row r="35" spans="1:15">
      <c r="A35" s="4" t="s">
        <v>108</v>
      </c>
      <c r="B35" s="5">
        <v>46053</v>
      </c>
      <c r="C35" s="13" t="s">
        <v>101</v>
      </c>
      <c r="D35" s="4" t="s">
        <v>102</v>
      </c>
      <c r="E35" s="4"/>
      <c r="F35" s="4" t="s">
        <v>108</v>
      </c>
      <c r="G35" s="6">
        <v>0.10416666666666667</v>
      </c>
      <c r="H35" s="7"/>
      <c r="I35" s="8"/>
      <c r="J35" s="7"/>
      <c r="K35" s="8">
        <v>305.39999999999998</v>
      </c>
      <c r="L35" s="8"/>
      <c r="M35" s="8">
        <f t="shared" si="0"/>
        <v>305.39999999999998</v>
      </c>
      <c r="N35" s="8">
        <f t="shared" si="1"/>
        <v>305.39999999999998</v>
      </c>
      <c r="O35" s="14">
        <v>42975</v>
      </c>
    </row>
    <row r="36" spans="1:15">
      <c r="A36" s="4" t="s">
        <v>109</v>
      </c>
      <c r="B36" s="5">
        <v>46053</v>
      </c>
      <c r="C36" s="13" t="s">
        <v>101</v>
      </c>
      <c r="D36" s="4" t="s">
        <v>102</v>
      </c>
      <c r="E36" s="4"/>
      <c r="F36" s="4" t="s">
        <v>109</v>
      </c>
      <c r="G36" s="6">
        <v>6.25E-2</v>
      </c>
      <c r="H36" s="7"/>
      <c r="I36" s="8"/>
      <c r="J36" s="7"/>
      <c r="K36" s="7">
        <v>305.39999999999998</v>
      </c>
      <c r="L36" s="7"/>
      <c r="M36" s="8">
        <f t="shared" si="0"/>
        <v>305.39999999999998</v>
      </c>
      <c r="N36" s="8">
        <f t="shared" si="1"/>
        <v>305.39999999999998</v>
      </c>
      <c r="O36" s="14">
        <v>42977</v>
      </c>
    </row>
    <row r="37" spans="1:15">
      <c r="A37" s="4" t="s">
        <v>110</v>
      </c>
      <c r="B37" s="5">
        <v>46053</v>
      </c>
      <c r="C37" s="13" t="s">
        <v>101</v>
      </c>
      <c r="D37" s="4" t="s">
        <v>102</v>
      </c>
      <c r="E37" s="4"/>
      <c r="F37" s="4" t="s">
        <v>110</v>
      </c>
      <c r="G37" s="6">
        <v>6.25E-2</v>
      </c>
      <c r="H37" s="8"/>
      <c r="I37" s="8"/>
      <c r="J37" s="7"/>
      <c r="K37" s="7">
        <v>305.39999999999998</v>
      </c>
      <c r="L37" s="7"/>
      <c r="M37" s="8">
        <f t="shared" si="0"/>
        <v>305.39999999999998</v>
      </c>
      <c r="N37" s="8">
        <f t="shared" si="1"/>
        <v>305.39999999999998</v>
      </c>
      <c r="O37" s="14">
        <v>42976</v>
      </c>
    </row>
    <row r="38" spans="1:15">
      <c r="A38" s="4" t="s">
        <v>111</v>
      </c>
      <c r="B38" s="5">
        <v>46053</v>
      </c>
      <c r="C38" s="13" t="s">
        <v>101</v>
      </c>
      <c r="D38" s="4" t="s">
        <v>102</v>
      </c>
      <c r="E38" s="4"/>
      <c r="F38" s="4" t="s">
        <v>111</v>
      </c>
      <c r="G38" s="6">
        <v>6.25E-2</v>
      </c>
      <c r="H38" s="7"/>
      <c r="I38" s="8"/>
      <c r="J38" s="7"/>
      <c r="K38" s="7">
        <v>305.39999999999998</v>
      </c>
      <c r="L38" s="7"/>
      <c r="M38" s="8">
        <f t="shared" si="0"/>
        <v>305.39999999999998</v>
      </c>
      <c r="N38" s="8">
        <f t="shared" si="1"/>
        <v>305.39999999999998</v>
      </c>
      <c r="O38" s="14">
        <v>41933</v>
      </c>
    </row>
    <row r="39" spans="1:15">
      <c r="A39" s="4" t="s">
        <v>112</v>
      </c>
      <c r="B39" s="5">
        <v>46053</v>
      </c>
      <c r="C39" s="13" t="s">
        <v>101</v>
      </c>
      <c r="D39" s="4" t="s">
        <v>102</v>
      </c>
      <c r="E39" s="4"/>
      <c r="F39" s="4" t="s">
        <v>112</v>
      </c>
      <c r="G39" s="6">
        <v>0.125</v>
      </c>
      <c r="H39" s="8"/>
      <c r="I39" s="8"/>
      <c r="J39" s="7"/>
      <c r="K39" s="7">
        <v>305.39999999999998</v>
      </c>
      <c r="L39" s="8"/>
      <c r="M39" s="8">
        <f t="shared" si="0"/>
        <v>305.39999999999998</v>
      </c>
      <c r="N39" s="8">
        <f t="shared" si="1"/>
        <v>305.39999999999998</v>
      </c>
      <c r="O39" s="14">
        <v>48832</v>
      </c>
    </row>
    <row r="40" spans="1:15">
      <c r="A40" s="4" t="s">
        <v>113</v>
      </c>
      <c r="B40" s="5">
        <v>46053</v>
      </c>
      <c r="C40" s="13" t="s">
        <v>101</v>
      </c>
      <c r="D40" s="4" t="s">
        <v>102</v>
      </c>
      <c r="E40" s="4"/>
      <c r="F40" s="4" t="s">
        <v>113</v>
      </c>
      <c r="G40" s="6">
        <v>4.1666666666666664E-2</v>
      </c>
      <c r="H40" s="8"/>
      <c r="I40" s="8"/>
      <c r="J40" s="7"/>
      <c r="K40" s="7">
        <v>305.39999999999998</v>
      </c>
      <c r="L40" s="8"/>
      <c r="M40" s="8">
        <f t="shared" si="0"/>
        <v>305.39999999999998</v>
      </c>
      <c r="N40" s="8">
        <f t="shared" si="1"/>
        <v>305.39999999999998</v>
      </c>
      <c r="O40" s="14">
        <v>42246</v>
      </c>
    </row>
    <row r="41" spans="1:15">
      <c r="A41" s="4" t="s">
        <v>114</v>
      </c>
      <c r="B41" s="5">
        <v>46053</v>
      </c>
      <c r="C41" s="13" t="s">
        <v>101</v>
      </c>
      <c r="D41" s="4" t="s">
        <v>102</v>
      </c>
      <c r="E41" s="4"/>
      <c r="F41" s="4" t="s">
        <v>114</v>
      </c>
      <c r="G41" s="6">
        <v>4.1666666666666664E-2</v>
      </c>
      <c r="H41" s="7"/>
      <c r="I41" s="8"/>
      <c r="J41" s="7"/>
      <c r="K41" s="8">
        <v>305.39999999999998</v>
      </c>
      <c r="L41" s="8"/>
      <c r="M41" s="8">
        <f t="shared" si="0"/>
        <v>305.39999999999998</v>
      </c>
      <c r="N41" s="8">
        <f t="shared" si="1"/>
        <v>305.39999999999998</v>
      </c>
      <c r="O41" s="14">
        <v>43699</v>
      </c>
    </row>
    <row r="42" spans="1:15">
      <c r="A42" s="4" t="s">
        <v>115</v>
      </c>
      <c r="B42" s="5">
        <v>46053</v>
      </c>
      <c r="C42" s="13" t="s">
        <v>101</v>
      </c>
      <c r="D42" s="4" t="s">
        <v>102</v>
      </c>
      <c r="E42" s="4"/>
      <c r="F42" s="4" t="s">
        <v>115</v>
      </c>
      <c r="G42" s="6">
        <v>8.3333333333333329E-2</v>
      </c>
      <c r="H42" s="7"/>
      <c r="I42" s="8"/>
      <c r="J42" s="7"/>
      <c r="K42" s="7">
        <v>305.39999999999998</v>
      </c>
      <c r="L42" s="8"/>
      <c r="M42" s="8">
        <f t="shared" si="0"/>
        <v>305.39999999999998</v>
      </c>
      <c r="N42" s="8">
        <f t="shared" si="1"/>
        <v>305.39999999999998</v>
      </c>
      <c r="O42" s="14">
        <v>41955</v>
      </c>
    </row>
    <row r="43" spans="1:15">
      <c r="A43" s="4" t="s">
        <v>116</v>
      </c>
      <c r="B43" s="5">
        <v>46053</v>
      </c>
      <c r="C43" s="13" t="s">
        <v>101</v>
      </c>
      <c r="D43" s="4" t="s">
        <v>102</v>
      </c>
      <c r="E43" s="4"/>
      <c r="F43" s="4" t="s">
        <v>116</v>
      </c>
      <c r="G43" s="6">
        <v>6.25E-2</v>
      </c>
      <c r="H43" s="8"/>
      <c r="I43" s="8"/>
      <c r="J43" s="7"/>
      <c r="K43" s="7">
        <v>305.39999999999998</v>
      </c>
      <c r="L43" s="8"/>
      <c r="M43" s="8">
        <f t="shared" si="0"/>
        <v>305.39999999999998</v>
      </c>
      <c r="N43" s="8">
        <f t="shared" si="1"/>
        <v>305.39999999999998</v>
      </c>
      <c r="O43" s="14">
        <v>43396</v>
      </c>
    </row>
    <row r="44" spans="1:15">
      <c r="A44" s="4" t="s">
        <v>117</v>
      </c>
      <c r="B44" s="5">
        <v>46053</v>
      </c>
      <c r="C44" s="13" t="s">
        <v>101</v>
      </c>
      <c r="D44" s="4" t="s">
        <v>102</v>
      </c>
      <c r="E44" s="4"/>
      <c r="F44" s="4" t="s">
        <v>117</v>
      </c>
      <c r="G44" s="6">
        <v>8.3333333333333329E-2</v>
      </c>
      <c r="H44" s="8"/>
      <c r="I44" s="8"/>
      <c r="J44" s="7"/>
      <c r="K44" s="7">
        <v>305.39999999999998</v>
      </c>
      <c r="L44" s="8"/>
      <c r="M44" s="8">
        <f t="shared" si="0"/>
        <v>305.39999999999998</v>
      </c>
      <c r="N44" s="8">
        <f t="shared" si="1"/>
        <v>305.39999999999998</v>
      </c>
      <c r="O44" s="14">
        <v>43831</v>
      </c>
    </row>
    <row r="45" spans="1:15">
      <c r="A45" s="4" t="s">
        <v>118</v>
      </c>
      <c r="B45" s="5">
        <v>46053</v>
      </c>
      <c r="C45" s="4"/>
      <c r="D45" s="4" t="s">
        <v>102</v>
      </c>
      <c r="E45" s="4"/>
      <c r="F45" s="4" t="s">
        <v>118</v>
      </c>
      <c r="G45" s="6">
        <v>0.125</v>
      </c>
      <c r="H45" s="8"/>
      <c r="I45" s="8"/>
      <c r="J45" s="7"/>
      <c r="K45" s="7">
        <v>305.39999999999998</v>
      </c>
      <c r="L45" s="8"/>
      <c r="M45" s="8">
        <f t="shared" si="0"/>
        <v>305.39999999999998</v>
      </c>
      <c r="N45" s="8">
        <f t="shared" si="1"/>
        <v>305.39999999999998</v>
      </c>
      <c r="O45" s="14">
        <v>47396</v>
      </c>
    </row>
    <row r="46" spans="1:15">
      <c r="A46" s="4" t="s">
        <v>119</v>
      </c>
      <c r="B46" s="5">
        <v>46053</v>
      </c>
      <c r="C46" s="4"/>
      <c r="D46" s="4" t="s">
        <v>102</v>
      </c>
      <c r="E46" s="4"/>
      <c r="F46" s="4" t="s">
        <v>119</v>
      </c>
      <c r="G46" s="6">
        <v>0.10416666666666667</v>
      </c>
      <c r="H46" s="8"/>
      <c r="I46" s="8"/>
      <c r="J46" s="7"/>
      <c r="K46" s="7">
        <v>305.39999999999998</v>
      </c>
      <c r="L46" s="8"/>
      <c r="M46" s="8">
        <f t="shared" si="0"/>
        <v>305.39999999999998</v>
      </c>
      <c r="N46" s="8">
        <f t="shared" si="1"/>
        <v>305.39999999999998</v>
      </c>
      <c r="O46" s="14">
        <v>42982</v>
      </c>
    </row>
    <row r="47" spans="1:15">
      <c r="A47" s="4" t="s">
        <v>120</v>
      </c>
      <c r="B47" s="5">
        <v>46053</v>
      </c>
      <c r="C47" s="4"/>
      <c r="D47" s="4" t="s">
        <v>102</v>
      </c>
      <c r="E47" s="4"/>
      <c r="F47" s="4" t="s">
        <v>120</v>
      </c>
      <c r="G47" s="6">
        <v>4.1666666666666664E-2</v>
      </c>
      <c r="H47" s="7"/>
      <c r="I47" s="8"/>
      <c r="J47" s="4"/>
      <c r="K47" s="7">
        <v>305.39999999999998</v>
      </c>
      <c r="L47" s="7"/>
      <c r="M47" s="8">
        <f t="shared" si="0"/>
        <v>305.39999999999998</v>
      </c>
      <c r="N47" s="8">
        <f t="shared" si="1"/>
        <v>305.39999999999998</v>
      </c>
      <c r="O47" s="14">
        <v>47393</v>
      </c>
    </row>
    <row r="48" spans="1:15">
      <c r="A48" s="4" t="s">
        <v>121</v>
      </c>
      <c r="B48" s="5">
        <v>46053</v>
      </c>
      <c r="C48" s="4"/>
      <c r="D48" s="4" t="s">
        <v>102</v>
      </c>
      <c r="E48" s="4"/>
      <c r="F48" s="4" t="s">
        <v>121</v>
      </c>
      <c r="G48" s="6">
        <v>4.1666666666666664E-2</v>
      </c>
      <c r="H48" s="8"/>
      <c r="I48" s="8"/>
      <c r="J48" s="7"/>
      <c r="K48" s="7">
        <v>305.39999999999998</v>
      </c>
      <c r="L48" s="8"/>
      <c r="M48" s="8">
        <f t="shared" si="0"/>
        <v>305.39999999999998</v>
      </c>
      <c r="N48" s="8">
        <f t="shared" si="1"/>
        <v>305.39999999999998</v>
      </c>
      <c r="O48" s="14">
        <v>47394</v>
      </c>
    </row>
    <row r="49" spans="1:15">
      <c r="A49" s="4" t="s">
        <v>122</v>
      </c>
      <c r="B49" s="5">
        <v>46053</v>
      </c>
      <c r="C49" s="4"/>
      <c r="D49" s="4" t="s">
        <v>102</v>
      </c>
      <c r="E49" s="4"/>
      <c r="F49" s="4" t="s">
        <v>122</v>
      </c>
      <c r="G49" s="6">
        <v>0.16666666666666666</v>
      </c>
      <c r="H49" s="8"/>
      <c r="I49" s="8"/>
      <c r="J49" s="7"/>
      <c r="K49" s="7">
        <v>305.39999999999998</v>
      </c>
      <c r="L49" s="8"/>
      <c r="M49" s="8">
        <f t="shared" si="0"/>
        <v>305.39999999999998</v>
      </c>
      <c r="N49" s="8">
        <f t="shared" si="1"/>
        <v>305.39999999999998</v>
      </c>
      <c r="O49" s="14">
        <v>45422</v>
      </c>
    </row>
    <row r="50" spans="1:15">
      <c r="A50" s="4" t="s">
        <v>123</v>
      </c>
      <c r="B50" s="5">
        <v>46053</v>
      </c>
      <c r="C50" s="4"/>
      <c r="D50" s="4" t="s">
        <v>102</v>
      </c>
      <c r="E50" s="4"/>
      <c r="F50" s="4" t="s">
        <v>123</v>
      </c>
      <c r="G50" s="13" t="s">
        <v>124</v>
      </c>
      <c r="H50" s="4"/>
      <c r="I50" s="4"/>
      <c r="J50" s="4"/>
      <c r="K50" s="8">
        <v>305.39999999999998</v>
      </c>
      <c r="L50" s="8"/>
      <c r="M50" s="8">
        <f t="shared" si="0"/>
        <v>305.39999999999998</v>
      </c>
      <c r="N50" s="8">
        <f t="shared" si="1"/>
        <v>305.39999999999998</v>
      </c>
      <c r="O50" s="14">
        <v>47947</v>
      </c>
    </row>
    <row r="51" spans="1:15">
      <c r="A51" s="4" t="s">
        <v>125</v>
      </c>
      <c r="B51" s="5">
        <v>46053</v>
      </c>
      <c r="C51" s="4"/>
      <c r="D51" s="4" t="s">
        <v>102</v>
      </c>
      <c r="E51" s="4"/>
      <c r="F51" s="4" t="s">
        <v>125</v>
      </c>
      <c r="G51" s="6">
        <v>4.1666666666666664E-2</v>
      </c>
      <c r="H51" s="8"/>
      <c r="I51" s="8"/>
      <c r="J51" s="4"/>
      <c r="K51" s="8">
        <v>305.39999999999998</v>
      </c>
      <c r="L51" s="8"/>
      <c r="M51" s="8">
        <f t="shared" si="0"/>
        <v>305.39999999999998</v>
      </c>
      <c r="N51" s="8">
        <f t="shared" si="1"/>
        <v>305.39999999999998</v>
      </c>
      <c r="O51" s="14">
        <v>48050</v>
      </c>
    </row>
    <row r="52" spans="1:15">
      <c r="A52" s="4" t="s">
        <v>126</v>
      </c>
      <c r="B52" s="5">
        <v>46053</v>
      </c>
      <c r="C52" s="4"/>
      <c r="D52" s="4" t="s">
        <v>102</v>
      </c>
      <c r="E52" s="4"/>
      <c r="F52" s="4" t="s">
        <v>126</v>
      </c>
      <c r="G52" s="6">
        <v>8.3333333333333329E-2</v>
      </c>
      <c r="H52" s="7"/>
      <c r="I52" s="8"/>
      <c r="J52" s="7"/>
      <c r="K52" s="7">
        <v>305.39999999999998</v>
      </c>
      <c r="L52" s="8"/>
      <c r="M52" s="8">
        <f t="shared" si="0"/>
        <v>305.39999999999998</v>
      </c>
      <c r="N52" s="8">
        <f t="shared" si="1"/>
        <v>305.39999999999998</v>
      </c>
      <c r="O52" s="14">
        <v>49103</v>
      </c>
    </row>
    <row r="53" spans="1:15">
      <c r="A53" s="4" t="s">
        <v>127</v>
      </c>
      <c r="B53" s="5">
        <v>46031</v>
      </c>
      <c r="C53" s="4" t="s">
        <v>128</v>
      </c>
      <c r="D53" s="4" t="s">
        <v>129</v>
      </c>
      <c r="E53" s="4"/>
      <c r="F53" s="4"/>
      <c r="G53" s="6">
        <v>4.1666666666666664E-2</v>
      </c>
      <c r="H53" s="7"/>
      <c r="I53" s="8"/>
      <c r="J53" s="4"/>
      <c r="K53" s="7">
        <v>180</v>
      </c>
      <c r="L53" s="7"/>
      <c r="M53" s="8">
        <f>H53+I53+J53+K53+L53</f>
        <v>180</v>
      </c>
      <c r="N53" s="8">
        <f t="shared" si="1"/>
        <v>180</v>
      </c>
      <c r="O53" s="9" t="s">
        <v>130</v>
      </c>
    </row>
    <row r="54" spans="1:15">
      <c r="A54" s="4" t="s">
        <v>131</v>
      </c>
      <c r="B54" s="5">
        <v>46034</v>
      </c>
      <c r="C54" s="4" t="s">
        <v>74</v>
      </c>
      <c r="D54" s="4" t="s">
        <v>132</v>
      </c>
      <c r="E54" s="4"/>
      <c r="F54" s="4"/>
      <c r="G54" s="6">
        <v>8.3333333333333329E-2</v>
      </c>
      <c r="H54" s="8"/>
      <c r="I54" s="8"/>
      <c r="J54" s="7"/>
      <c r="K54" s="8">
        <v>180</v>
      </c>
      <c r="L54" s="8"/>
      <c r="M54" s="8">
        <f t="shared" si="0"/>
        <v>180</v>
      </c>
      <c r="N54" s="8">
        <f t="shared" si="1"/>
        <v>180</v>
      </c>
      <c r="O54" s="9" t="s">
        <v>133</v>
      </c>
    </row>
    <row r="55" spans="1:15">
      <c r="A55" s="4" t="s">
        <v>134</v>
      </c>
      <c r="B55" s="5">
        <v>46034</v>
      </c>
      <c r="C55" s="4" t="s">
        <v>16</v>
      </c>
      <c r="D55" s="4" t="s">
        <v>132</v>
      </c>
      <c r="E55" s="4"/>
      <c r="F55" s="4" t="s">
        <v>135</v>
      </c>
      <c r="G55" s="6">
        <v>0.22916666666666666</v>
      </c>
      <c r="H55" s="8">
        <v>42.6</v>
      </c>
      <c r="I55" s="8"/>
      <c r="J55" s="7"/>
      <c r="K55" s="7">
        <v>180</v>
      </c>
      <c r="L55" s="8"/>
      <c r="M55" s="8">
        <f t="shared" si="0"/>
        <v>222.6</v>
      </c>
      <c r="N55" s="8">
        <f t="shared" si="1"/>
        <v>180</v>
      </c>
      <c r="O55" s="9" t="s">
        <v>136</v>
      </c>
    </row>
    <row r="56" spans="1:15">
      <c r="A56" s="4" t="s">
        <v>137</v>
      </c>
      <c r="B56" s="5">
        <v>46049</v>
      </c>
      <c r="C56" s="4" t="s">
        <v>47</v>
      </c>
      <c r="D56" s="4" t="s">
        <v>132</v>
      </c>
      <c r="E56" s="4"/>
      <c r="F56" s="4"/>
      <c r="G56" s="6">
        <v>6.25E-2</v>
      </c>
      <c r="H56" s="7"/>
      <c r="I56" s="8"/>
      <c r="J56" s="7"/>
      <c r="K56" s="7">
        <v>180</v>
      </c>
      <c r="L56" s="8"/>
      <c r="M56" s="8">
        <f t="shared" si="0"/>
        <v>180</v>
      </c>
      <c r="N56" s="8">
        <f t="shared" si="1"/>
        <v>180</v>
      </c>
      <c r="O56" s="9" t="s">
        <v>138</v>
      </c>
    </row>
    <row r="57" spans="1:15">
      <c r="A57" s="4" t="s">
        <v>139</v>
      </c>
      <c r="B57" s="5">
        <v>46050</v>
      </c>
      <c r="C57" s="4" t="s">
        <v>74</v>
      </c>
      <c r="D57" s="4" t="s">
        <v>132</v>
      </c>
      <c r="E57" s="4"/>
      <c r="F57" s="4" t="s">
        <v>140</v>
      </c>
      <c r="G57" s="6">
        <v>8.3333333333333329E-2</v>
      </c>
      <c r="H57" s="7">
        <v>42.6</v>
      </c>
      <c r="I57" s="8"/>
      <c r="J57" s="7"/>
      <c r="K57" s="8">
        <v>180</v>
      </c>
      <c r="L57" s="8"/>
      <c r="M57" s="8">
        <f t="shared" si="0"/>
        <v>222.6</v>
      </c>
      <c r="N57" s="8">
        <f t="shared" si="1"/>
        <v>180</v>
      </c>
      <c r="O57" s="9" t="s">
        <v>141</v>
      </c>
    </row>
    <row r="58" spans="1:15">
      <c r="A58" s="4" t="s">
        <v>57</v>
      </c>
      <c r="B58" s="5">
        <v>46024</v>
      </c>
      <c r="C58" s="4" t="s">
        <v>142</v>
      </c>
      <c r="D58" s="4" t="s">
        <v>143</v>
      </c>
      <c r="E58" s="4">
        <v>130</v>
      </c>
      <c r="F58" s="4"/>
      <c r="G58" s="6">
        <v>4.1666666666666664E-2</v>
      </c>
      <c r="H58" s="8"/>
      <c r="I58" s="8">
        <v>195</v>
      </c>
      <c r="J58" s="7">
        <v>36</v>
      </c>
      <c r="K58" s="7">
        <v>180</v>
      </c>
      <c r="L58" s="8"/>
      <c r="M58" s="8">
        <f t="shared" si="0"/>
        <v>411</v>
      </c>
      <c r="N58" s="8">
        <f t="shared" si="1"/>
        <v>180</v>
      </c>
      <c r="O58" s="9" t="s">
        <v>60</v>
      </c>
    </row>
    <row r="59" spans="1:15">
      <c r="A59" s="4" t="s">
        <v>144</v>
      </c>
      <c r="B59" s="5">
        <v>46028</v>
      </c>
      <c r="C59" s="4" t="s">
        <v>145</v>
      </c>
      <c r="D59" s="4" t="s">
        <v>146</v>
      </c>
      <c r="E59" s="4">
        <v>50</v>
      </c>
      <c r="F59" s="4" t="s">
        <v>147</v>
      </c>
      <c r="G59" s="6">
        <v>4.1666666666666664E-2</v>
      </c>
      <c r="H59" s="7">
        <v>30</v>
      </c>
      <c r="I59" s="8">
        <v>75</v>
      </c>
      <c r="J59" s="7"/>
      <c r="K59" s="7">
        <v>180</v>
      </c>
      <c r="L59" s="8">
        <v>180</v>
      </c>
      <c r="M59" s="8">
        <f t="shared" si="0"/>
        <v>465</v>
      </c>
      <c r="N59" s="8">
        <f t="shared" si="1"/>
        <v>360</v>
      </c>
      <c r="O59" s="9" t="s">
        <v>148</v>
      </c>
    </row>
    <row r="60" spans="1:15">
      <c r="A60" s="4" t="s">
        <v>149</v>
      </c>
      <c r="B60" s="5">
        <v>46037</v>
      </c>
      <c r="C60" s="4" t="s">
        <v>150</v>
      </c>
      <c r="D60" s="4" t="s">
        <v>146</v>
      </c>
      <c r="E60" s="4"/>
      <c r="F60" s="4"/>
      <c r="G60" s="6">
        <v>4.1666666666666664E-2</v>
      </c>
      <c r="H60" s="8"/>
      <c r="I60" s="8"/>
      <c r="J60" s="7"/>
      <c r="K60" s="7">
        <v>180</v>
      </c>
      <c r="L60" s="8">
        <v>120</v>
      </c>
      <c r="M60" s="8">
        <f t="shared" si="0"/>
        <v>300</v>
      </c>
      <c r="N60" s="8">
        <f t="shared" si="1"/>
        <v>300</v>
      </c>
      <c r="O60" s="9" t="s">
        <v>151</v>
      </c>
    </row>
    <row r="61" spans="1:15">
      <c r="A61" s="4" t="s">
        <v>152</v>
      </c>
      <c r="B61" s="5">
        <v>46038</v>
      </c>
      <c r="C61" s="4" t="s">
        <v>153</v>
      </c>
      <c r="D61" s="4" t="s">
        <v>146</v>
      </c>
      <c r="E61" s="4">
        <v>74</v>
      </c>
      <c r="F61" s="4"/>
      <c r="G61" s="6">
        <v>0.10416666666666667</v>
      </c>
      <c r="H61" s="7"/>
      <c r="I61" s="8">
        <v>111</v>
      </c>
      <c r="J61" s="7"/>
      <c r="K61" s="7">
        <v>180</v>
      </c>
      <c r="L61" s="8"/>
      <c r="M61" s="8">
        <f t="shared" si="0"/>
        <v>291</v>
      </c>
      <c r="N61" s="8">
        <f t="shared" si="1"/>
        <v>180</v>
      </c>
      <c r="O61" s="9" t="s">
        <v>154</v>
      </c>
    </row>
    <row r="62" spans="1:15">
      <c r="A62" s="4" t="s">
        <v>144</v>
      </c>
      <c r="B62" s="5">
        <v>46038</v>
      </c>
      <c r="C62" s="4" t="s">
        <v>153</v>
      </c>
      <c r="D62" s="4" t="s">
        <v>146</v>
      </c>
      <c r="E62" s="4">
        <v>50</v>
      </c>
      <c r="F62" s="4"/>
      <c r="G62" s="6">
        <v>4.1666666666666664E-2</v>
      </c>
      <c r="H62" s="7"/>
      <c r="I62" s="8">
        <v>75</v>
      </c>
      <c r="J62" s="7"/>
      <c r="K62" s="7">
        <v>180</v>
      </c>
      <c r="L62" s="8"/>
      <c r="M62" s="8">
        <f t="shared" si="0"/>
        <v>255</v>
      </c>
      <c r="N62" s="8">
        <f t="shared" si="1"/>
        <v>180</v>
      </c>
      <c r="O62" s="9" t="s">
        <v>148</v>
      </c>
    </row>
    <row r="63" spans="1:15">
      <c r="A63" s="4" t="s">
        <v>155</v>
      </c>
      <c r="B63" s="5">
        <v>46052</v>
      </c>
      <c r="C63" s="4" t="s">
        <v>53</v>
      </c>
      <c r="D63" s="4" t="s">
        <v>146</v>
      </c>
      <c r="E63" s="4"/>
      <c r="F63" s="4"/>
      <c r="G63" s="6">
        <v>4.1666666666666664E-2</v>
      </c>
      <c r="H63" s="7"/>
      <c r="I63" s="8"/>
      <c r="J63" s="7"/>
      <c r="K63" s="7">
        <v>180</v>
      </c>
      <c r="L63" s="8"/>
      <c r="M63" s="8">
        <f t="shared" si="0"/>
        <v>180</v>
      </c>
      <c r="N63" s="8">
        <f t="shared" si="1"/>
        <v>180</v>
      </c>
      <c r="O63" s="9" t="s">
        <v>156</v>
      </c>
    </row>
    <row r="64" spans="1:15">
      <c r="A64" s="4" t="s">
        <v>157</v>
      </c>
      <c r="B64" s="5">
        <v>46052</v>
      </c>
      <c r="C64" s="4" t="s">
        <v>128</v>
      </c>
      <c r="D64" s="4" t="s">
        <v>146</v>
      </c>
      <c r="E64" s="4"/>
      <c r="F64" s="4"/>
      <c r="G64" s="6">
        <v>4.1666666666666664E-2</v>
      </c>
      <c r="H64" s="7"/>
      <c r="I64" s="8"/>
      <c r="J64" s="7"/>
      <c r="K64" s="7">
        <v>180</v>
      </c>
      <c r="L64" s="8"/>
      <c r="M64" s="8">
        <f t="shared" si="0"/>
        <v>180</v>
      </c>
      <c r="N64" s="8">
        <f t="shared" si="1"/>
        <v>180</v>
      </c>
      <c r="O64" s="9" t="s">
        <v>90</v>
      </c>
    </row>
    <row r="65" spans="1:15">
      <c r="A65" s="4" t="s">
        <v>158</v>
      </c>
      <c r="B65" s="5">
        <v>46052</v>
      </c>
      <c r="C65" s="4" t="s">
        <v>77</v>
      </c>
      <c r="D65" s="4" t="s">
        <v>146</v>
      </c>
      <c r="E65" s="4"/>
      <c r="F65" s="4"/>
      <c r="G65" s="6">
        <v>4.1666666666666664E-2</v>
      </c>
      <c r="H65" s="7"/>
      <c r="I65" s="8"/>
      <c r="J65" s="7"/>
      <c r="K65" s="7">
        <v>180</v>
      </c>
      <c r="L65" s="8"/>
      <c r="M65" s="8">
        <f t="shared" si="0"/>
        <v>180</v>
      </c>
      <c r="N65" s="8">
        <f t="shared" si="1"/>
        <v>180</v>
      </c>
      <c r="O65" s="9" t="s">
        <v>159</v>
      </c>
    </row>
    <row r="66" spans="1:15">
      <c r="A66" s="4" t="s">
        <v>160</v>
      </c>
      <c r="B66" s="5">
        <v>46052</v>
      </c>
      <c r="C66" s="4" t="s">
        <v>161</v>
      </c>
      <c r="D66" s="4" t="s">
        <v>146</v>
      </c>
      <c r="E66" s="4"/>
      <c r="F66" s="4"/>
      <c r="G66" s="6">
        <v>4.1666666666666664E-2</v>
      </c>
      <c r="H66" s="7"/>
      <c r="I66" s="8"/>
      <c r="J66" s="7"/>
      <c r="K66" s="7">
        <v>180</v>
      </c>
      <c r="L66" s="8"/>
      <c r="M66" s="8">
        <f t="shared" ref="M66:M119" si="2">H66+I66+J66+K66+L66</f>
        <v>180</v>
      </c>
      <c r="N66" s="8">
        <f t="shared" si="1"/>
        <v>180</v>
      </c>
      <c r="O66" s="9" t="s">
        <v>162</v>
      </c>
    </row>
    <row r="67" spans="1:15">
      <c r="A67" s="4" t="s">
        <v>163</v>
      </c>
      <c r="B67" s="5">
        <v>46052</v>
      </c>
      <c r="C67" s="4" t="s">
        <v>164</v>
      </c>
      <c r="D67" s="4" t="s">
        <v>146</v>
      </c>
      <c r="E67" s="4"/>
      <c r="F67" s="4" t="s">
        <v>165</v>
      </c>
      <c r="G67" s="6">
        <v>4.1666666666666664E-2</v>
      </c>
      <c r="H67" s="7">
        <v>48.6</v>
      </c>
      <c r="I67" s="8"/>
      <c r="J67" s="7"/>
      <c r="K67" s="7">
        <v>180</v>
      </c>
      <c r="L67" s="8">
        <v>180</v>
      </c>
      <c r="M67" s="8">
        <f t="shared" si="2"/>
        <v>408.6</v>
      </c>
      <c r="N67" s="8">
        <f t="shared" ref="N67:N101" si="3">K67+L67</f>
        <v>360</v>
      </c>
      <c r="O67" s="9" t="s">
        <v>166</v>
      </c>
    </row>
    <row r="68" spans="1:15">
      <c r="A68" s="4" t="s">
        <v>167</v>
      </c>
      <c r="B68" s="5">
        <v>46052</v>
      </c>
      <c r="C68" s="4" t="s">
        <v>168</v>
      </c>
      <c r="D68" s="4" t="s">
        <v>146</v>
      </c>
      <c r="E68" s="4"/>
      <c r="F68" s="4" t="s">
        <v>169</v>
      </c>
      <c r="G68" s="6">
        <v>0.125</v>
      </c>
      <c r="H68" s="8">
        <v>42.6</v>
      </c>
      <c r="I68" s="8"/>
      <c r="J68" s="7"/>
      <c r="K68" s="7">
        <v>180</v>
      </c>
      <c r="L68" s="8"/>
      <c r="M68" s="8">
        <f t="shared" si="2"/>
        <v>222.6</v>
      </c>
      <c r="N68" s="8">
        <f t="shared" si="3"/>
        <v>180</v>
      </c>
      <c r="O68" s="9" t="s">
        <v>170</v>
      </c>
    </row>
    <row r="69" spans="1:15">
      <c r="A69" s="4" t="s">
        <v>171</v>
      </c>
      <c r="B69" s="5">
        <v>46029</v>
      </c>
      <c r="C69" s="6" t="s">
        <v>67</v>
      </c>
      <c r="D69" s="4" t="s">
        <v>172</v>
      </c>
      <c r="E69" s="4"/>
      <c r="F69" s="4" t="s">
        <v>173</v>
      </c>
      <c r="G69" s="6">
        <v>4.1666666666666664E-2</v>
      </c>
      <c r="H69" s="7">
        <v>42.6</v>
      </c>
      <c r="I69" s="8"/>
      <c r="J69" s="7"/>
      <c r="K69" s="7">
        <v>180</v>
      </c>
      <c r="L69" s="8">
        <v>120</v>
      </c>
      <c r="M69" s="8">
        <f t="shared" si="2"/>
        <v>342.6</v>
      </c>
      <c r="N69" s="8">
        <f t="shared" si="3"/>
        <v>300</v>
      </c>
      <c r="O69" s="12" t="s">
        <v>174</v>
      </c>
    </row>
    <row r="70" spans="1:15">
      <c r="A70" s="4" t="s">
        <v>175</v>
      </c>
      <c r="B70" s="5">
        <v>46030</v>
      </c>
      <c r="C70" s="6" t="s">
        <v>176</v>
      </c>
      <c r="D70" s="4" t="s">
        <v>172</v>
      </c>
      <c r="E70" s="4">
        <v>75</v>
      </c>
      <c r="F70" s="4"/>
      <c r="G70" s="6">
        <v>6.25E-2</v>
      </c>
      <c r="H70" s="7"/>
      <c r="I70" s="8">
        <v>112.5</v>
      </c>
      <c r="J70" s="7"/>
      <c r="K70" s="7">
        <v>180</v>
      </c>
      <c r="L70" s="8"/>
      <c r="M70" s="8">
        <f t="shared" si="2"/>
        <v>292.5</v>
      </c>
      <c r="N70" s="8">
        <f t="shared" si="3"/>
        <v>180</v>
      </c>
      <c r="O70" s="12" t="s">
        <v>177</v>
      </c>
    </row>
    <row r="71" spans="1:15">
      <c r="A71" s="4" t="s">
        <v>178</v>
      </c>
      <c r="B71" s="5">
        <v>46037</v>
      </c>
      <c r="C71" s="4" t="s">
        <v>179</v>
      </c>
      <c r="D71" s="4" t="s">
        <v>172</v>
      </c>
      <c r="E71" s="4">
        <v>125</v>
      </c>
      <c r="F71" s="4"/>
      <c r="G71" s="6">
        <v>8.3333333333333329E-2</v>
      </c>
      <c r="H71" s="7"/>
      <c r="I71" s="8">
        <v>187.5</v>
      </c>
      <c r="J71" s="7"/>
      <c r="K71" s="7">
        <v>180</v>
      </c>
      <c r="L71" s="8"/>
      <c r="M71" s="8">
        <f t="shared" si="2"/>
        <v>367.5</v>
      </c>
      <c r="N71" s="8">
        <f t="shared" si="3"/>
        <v>180</v>
      </c>
      <c r="O71" s="9" t="s">
        <v>180</v>
      </c>
    </row>
    <row r="72" spans="1:15">
      <c r="A72" s="4" t="s">
        <v>181</v>
      </c>
      <c r="B72" s="5">
        <v>46044</v>
      </c>
      <c r="C72" s="4" t="s">
        <v>25</v>
      </c>
      <c r="D72" s="4" t="s">
        <v>172</v>
      </c>
      <c r="E72" s="4">
        <v>38</v>
      </c>
      <c r="F72" s="4"/>
      <c r="G72" s="6">
        <v>4.1666666666666664E-2</v>
      </c>
      <c r="H72" s="7"/>
      <c r="I72" s="8">
        <v>57</v>
      </c>
      <c r="J72" s="7"/>
      <c r="K72" s="7">
        <v>180</v>
      </c>
      <c r="L72" s="8">
        <v>60</v>
      </c>
      <c r="M72" s="8">
        <f t="shared" si="2"/>
        <v>297</v>
      </c>
      <c r="N72" s="8">
        <f t="shared" si="3"/>
        <v>240</v>
      </c>
      <c r="O72" s="12" t="s">
        <v>182</v>
      </c>
    </row>
    <row r="73" spans="1:15">
      <c r="A73" s="4" t="s">
        <v>178</v>
      </c>
      <c r="B73" s="5">
        <v>46044</v>
      </c>
      <c r="C73" s="4" t="s">
        <v>183</v>
      </c>
      <c r="D73" s="4" t="s">
        <v>172</v>
      </c>
      <c r="E73" s="4">
        <v>125</v>
      </c>
      <c r="F73" s="4"/>
      <c r="G73" s="6">
        <v>4.1666666666666664E-2</v>
      </c>
      <c r="H73" s="7"/>
      <c r="I73" s="8">
        <v>187.5</v>
      </c>
      <c r="J73" s="7">
        <v>42</v>
      </c>
      <c r="K73" s="7">
        <v>180</v>
      </c>
      <c r="L73" s="8">
        <v>120</v>
      </c>
      <c r="M73" s="8">
        <f t="shared" si="2"/>
        <v>529.5</v>
      </c>
      <c r="N73" s="8">
        <f t="shared" si="3"/>
        <v>300</v>
      </c>
      <c r="O73" s="9" t="s">
        <v>180</v>
      </c>
    </row>
    <row r="74" spans="1:15">
      <c r="A74" s="4" t="s">
        <v>184</v>
      </c>
      <c r="B74" s="5">
        <v>46049</v>
      </c>
      <c r="C74" s="4" t="s">
        <v>74</v>
      </c>
      <c r="D74" s="4" t="s">
        <v>172</v>
      </c>
      <c r="E74" s="4"/>
      <c r="F74" s="4"/>
      <c r="G74" s="6">
        <v>4.1666666666666664E-2</v>
      </c>
      <c r="H74" s="8"/>
      <c r="I74" s="8"/>
      <c r="J74" s="7"/>
      <c r="K74" s="7">
        <v>180</v>
      </c>
      <c r="L74" s="8"/>
      <c r="M74" s="8">
        <f t="shared" si="2"/>
        <v>180</v>
      </c>
      <c r="N74" s="8">
        <f t="shared" si="3"/>
        <v>180</v>
      </c>
      <c r="O74" s="12" t="s">
        <v>185</v>
      </c>
    </row>
    <row r="75" spans="1:15">
      <c r="A75" s="4" t="s">
        <v>186</v>
      </c>
      <c r="B75" s="5">
        <v>46051</v>
      </c>
      <c r="C75" s="4" t="s">
        <v>25</v>
      </c>
      <c r="D75" s="4" t="s">
        <v>172</v>
      </c>
      <c r="E75" s="4">
        <v>36</v>
      </c>
      <c r="F75" s="4"/>
      <c r="G75" s="6">
        <v>4.1666666666666664E-2</v>
      </c>
      <c r="H75" s="7"/>
      <c r="I75" s="8">
        <v>54</v>
      </c>
      <c r="J75" s="7"/>
      <c r="K75" s="7">
        <v>180</v>
      </c>
      <c r="L75" s="8">
        <v>60</v>
      </c>
      <c r="M75" s="8">
        <f t="shared" si="2"/>
        <v>294</v>
      </c>
      <c r="N75" s="8">
        <f t="shared" si="3"/>
        <v>240</v>
      </c>
      <c r="O75" s="12" t="s">
        <v>187</v>
      </c>
    </row>
    <row r="76" spans="1:15">
      <c r="A76" s="4" t="s">
        <v>188</v>
      </c>
      <c r="B76" s="5">
        <v>46030</v>
      </c>
      <c r="C76" s="6" t="s">
        <v>77</v>
      </c>
      <c r="D76" s="4" t="s">
        <v>189</v>
      </c>
      <c r="E76" s="4"/>
      <c r="F76" s="4"/>
      <c r="G76" s="6">
        <v>4.1666666666666664E-2</v>
      </c>
      <c r="H76" s="7"/>
      <c r="I76" s="8"/>
      <c r="J76" s="7"/>
      <c r="K76" s="7">
        <v>180</v>
      </c>
      <c r="L76" s="8"/>
      <c r="M76" s="8">
        <f t="shared" si="2"/>
        <v>180</v>
      </c>
      <c r="N76" s="8">
        <f t="shared" si="3"/>
        <v>180</v>
      </c>
      <c r="O76" s="9" t="s">
        <v>190</v>
      </c>
    </row>
    <row r="77" spans="1:15">
      <c r="A77" s="4" t="s">
        <v>188</v>
      </c>
      <c r="B77" s="5">
        <v>46036</v>
      </c>
      <c r="C77" s="6" t="s">
        <v>191</v>
      </c>
      <c r="D77" s="4" t="s">
        <v>189</v>
      </c>
      <c r="E77" s="4"/>
      <c r="F77" s="4"/>
      <c r="G77" s="6">
        <v>4.1666666666666664E-2</v>
      </c>
      <c r="H77" s="7"/>
      <c r="I77" s="8"/>
      <c r="J77" s="7"/>
      <c r="K77" s="7">
        <v>180</v>
      </c>
      <c r="L77" s="8">
        <v>300</v>
      </c>
      <c r="M77" s="8">
        <f t="shared" si="2"/>
        <v>480</v>
      </c>
      <c r="N77" s="8">
        <f t="shared" si="3"/>
        <v>480</v>
      </c>
      <c r="O77" s="9" t="s">
        <v>190</v>
      </c>
    </row>
    <row r="78" spans="1:15">
      <c r="A78" s="4" t="s">
        <v>192</v>
      </c>
      <c r="B78" s="5">
        <v>46037</v>
      </c>
      <c r="C78" s="4" t="s">
        <v>25</v>
      </c>
      <c r="D78" s="4" t="s">
        <v>189</v>
      </c>
      <c r="E78" s="4"/>
      <c r="F78" s="4"/>
      <c r="G78" s="6">
        <v>0.10416666666666667</v>
      </c>
      <c r="H78" s="7"/>
      <c r="I78" s="8"/>
      <c r="J78" s="7"/>
      <c r="K78" s="7">
        <v>180</v>
      </c>
      <c r="L78" s="8">
        <v>60</v>
      </c>
      <c r="M78" s="8">
        <f t="shared" si="2"/>
        <v>240</v>
      </c>
      <c r="N78" s="8">
        <f t="shared" si="3"/>
        <v>240</v>
      </c>
      <c r="O78" s="9" t="s">
        <v>193</v>
      </c>
    </row>
    <row r="79" spans="1:15">
      <c r="A79" s="4" t="s">
        <v>194</v>
      </c>
      <c r="B79" s="5">
        <v>46029</v>
      </c>
      <c r="C79" s="4" t="s">
        <v>195</v>
      </c>
      <c r="D79" s="4" t="s">
        <v>196</v>
      </c>
      <c r="E79" s="4"/>
      <c r="F79" s="4"/>
      <c r="G79" s="6">
        <v>4.1666666666666664E-2</v>
      </c>
      <c r="H79" s="7"/>
      <c r="I79" s="8"/>
      <c r="J79" s="7"/>
      <c r="K79" s="7">
        <v>180</v>
      </c>
      <c r="L79" s="8">
        <v>360</v>
      </c>
      <c r="M79" s="8">
        <f t="shared" si="2"/>
        <v>540</v>
      </c>
      <c r="N79" s="8">
        <f t="shared" si="3"/>
        <v>540</v>
      </c>
      <c r="O79" s="15">
        <v>19029</v>
      </c>
    </row>
    <row r="80" spans="1:15">
      <c r="A80" s="4" t="s">
        <v>197</v>
      </c>
      <c r="B80" s="5">
        <v>46034</v>
      </c>
      <c r="C80" s="4" t="s">
        <v>198</v>
      </c>
      <c r="D80" s="4" t="s">
        <v>196</v>
      </c>
      <c r="E80" s="4"/>
      <c r="F80" s="4" t="s">
        <v>199</v>
      </c>
      <c r="G80" s="13" t="s">
        <v>124</v>
      </c>
      <c r="H80" s="4">
        <v>35</v>
      </c>
      <c r="I80" s="4"/>
      <c r="J80" s="4"/>
      <c r="K80" s="8">
        <v>180</v>
      </c>
      <c r="L80" s="8">
        <v>120</v>
      </c>
      <c r="M80" s="8">
        <f t="shared" si="2"/>
        <v>335</v>
      </c>
      <c r="N80" s="8">
        <f t="shared" si="3"/>
        <v>300</v>
      </c>
      <c r="O80" s="16">
        <v>19044</v>
      </c>
    </row>
    <row r="81" spans="1:15">
      <c r="A81" s="4" t="s">
        <v>200</v>
      </c>
      <c r="B81" s="5">
        <v>46037</v>
      </c>
      <c r="C81" s="4" t="s">
        <v>201</v>
      </c>
      <c r="D81" s="4" t="s">
        <v>196</v>
      </c>
      <c r="E81" s="4"/>
      <c r="F81" s="4" t="s">
        <v>202</v>
      </c>
      <c r="G81" s="13" t="s">
        <v>124</v>
      </c>
      <c r="H81" s="4">
        <v>452.8</v>
      </c>
      <c r="I81" s="4"/>
      <c r="J81" s="4"/>
      <c r="K81" s="8">
        <v>180</v>
      </c>
      <c r="L81" s="8">
        <v>120</v>
      </c>
      <c r="M81" s="8">
        <f t="shared" si="2"/>
        <v>752.8</v>
      </c>
      <c r="N81" s="8">
        <f t="shared" si="3"/>
        <v>300</v>
      </c>
      <c r="O81" s="16">
        <v>19067</v>
      </c>
    </row>
    <row r="82" spans="1:15">
      <c r="A82" s="4" t="s">
        <v>203</v>
      </c>
      <c r="B82" s="5">
        <v>46048</v>
      </c>
      <c r="C82" s="6" t="s">
        <v>74</v>
      </c>
      <c r="D82" s="4" t="s">
        <v>196</v>
      </c>
      <c r="E82" s="4"/>
      <c r="F82" s="4"/>
      <c r="G82" s="13" t="s">
        <v>124</v>
      </c>
      <c r="H82" s="4"/>
      <c r="I82" s="4"/>
      <c r="J82" s="4"/>
      <c r="K82" s="8">
        <v>180</v>
      </c>
      <c r="L82" s="8"/>
      <c r="M82" s="8">
        <f t="shared" si="2"/>
        <v>180</v>
      </c>
      <c r="N82" s="8">
        <f t="shared" si="3"/>
        <v>180</v>
      </c>
      <c r="O82" s="16">
        <v>19106</v>
      </c>
    </row>
    <row r="83" spans="1:15">
      <c r="A83" s="4" t="s">
        <v>204</v>
      </c>
      <c r="B83" s="5">
        <v>46051</v>
      </c>
      <c r="C83" s="6" t="s">
        <v>205</v>
      </c>
      <c r="D83" s="4" t="s">
        <v>196</v>
      </c>
      <c r="E83" s="4"/>
      <c r="F83" s="4"/>
      <c r="G83" s="13" t="s">
        <v>124</v>
      </c>
      <c r="H83" s="4"/>
      <c r="I83" s="4"/>
      <c r="J83" s="4"/>
      <c r="K83" s="8">
        <v>240</v>
      </c>
      <c r="L83" s="8">
        <v>280</v>
      </c>
      <c r="M83" s="8">
        <f t="shared" si="2"/>
        <v>520</v>
      </c>
      <c r="N83" s="8">
        <f t="shared" si="3"/>
        <v>520</v>
      </c>
      <c r="O83" s="16">
        <v>19119</v>
      </c>
    </row>
    <row r="84" spans="1:15">
      <c r="A84" s="4" t="s">
        <v>66</v>
      </c>
      <c r="B84" s="5">
        <v>46035</v>
      </c>
      <c r="C84" s="4" t="s">
        <v>206</v>
      </c>
      <c r="D84" s="4" t="s">
        <v>207</v>
      </c>
      <c r="E84" s="4">
        <v>120</v>
      </c>
      <c r="F84" s="4"/>
      <c r="G84" s="13" t="s">
        <v>124</v>
      </c>
      <c r="H84" s="4"/>
      <c r="I84" s="4">
        <v>180</v>
      </c>
      <c r="J84" s="4">
        <v>54</v>
      </c>
      <c r="K84" s="8">
        <v>180</v>
      </c>
      <c r="L84" s="8">
        <v>240</v>
      </c>
      <c r="M84" s="8">
        <f t="shared" si="2"/>
        <v>654</v>
      </c>
      <c r="N84" s="8">
        <f t="shared" si="3"/>
        <v>420</v>
      </c>
      <c r="O84" s="12" t="s">
        <v>68</v>
      </c>
    </row>
    <row r="85" spans="1:15">
      <c r="A85" s="4" t="s">
        <v>208</v>
      </c>
      <c r="B85" s="5">
        <v>46042</v>
      </c>
      <c r="C85" s="6" t="s">
        <v>209</v>
      </c>
      <c r="D85" s="4" t="s">
        <v>207</v>
      </c>
      <c r="E85" s="4">
        <v>130</v>
      </c>
      <c r="F85" s="4" t="s">
        <v>210</v>
      </c>
      <c r="G85" s="13" t="s">
        <v>124</v>
      </c>
      <c r="H85" s="4">
        <v>180</v>
      </c>
      <c r="I85" s="4">
        <v>195</v>
      </c>
      <c r="J85" s="4"/>
      <c r="K85" s="8">
        <v>180</v>
      </c>
      <c r="L85" s="8"/>
      <c r="M85" s="8">
        <f t="shared" si="2"/>
        <v>555</v>
      </c>
      <c r="N85" s="8">
        <f t="shared" si="3"/>
        <v>180</v>
      </c>
      <c r="O85" s="12" t="s">
        <v>211</v>
      </c>
    </row>
    <row r="86" spans="1:15">
      <c r="A86" s="4" t="s">
        <v>212</v>
      </c>
      <c r="B86" s="5">
        <v>46044</v>
      </c>
      <c r="C86" s="6" t="s">
        <v>74</v>
      </c>
      <c r="D86" s="4" t="s">
        <v>213</v>
      </c>
      <c r="E86" s="4"/>
      <c r="F86" s="4" t="s">
        <v>214</v>
      </c>
      <c r="G86" s="13" t="s">
        <v>124</v>
      </c>
      <c r="H86" s="4">
        <v>68.2</v>
      </c>
      <c r="I86" s="4"/>
      <c r="J86" s="4"/>
      <c r="K86" s="8">
        <v>180</v>
      </c>
      <c r="L86" s="8"/>
      <c r="M86" s="8">
        <f t="shared" si="2"/>
        <v>248.2</v>
      </c>
      <c r="N86" s="8">
        <f t="shared" si="3"/>
        <v>180</v>
      </c>
      <c r="O86" s="9" t="s">
        <v>215</v>
      </c>
    </row>
    <row r="87" spans="1:15">
      <c r="A87" s="4" t="s">
        <v>216</v>
      </c>
      <c r="B87" s="5">
        <v>46028</v>
      </c>
      <c r="C87" s="4" t="s">
        <v>31</v>
      </c>
      <c r="D87" s="4" t="s">
        <v>217</v>
      </c>
      <c r="E87" s="4"/>
      <c r="F87" s="4"/>
      <c r="G87" s="13" t="s">
        <v>124</v>
      </c>
      <c r="H87" s="4"/>
      <c r="I87" s="4"/>
      <c r="J87" s="4"/>
      <c r="K87" s="8">
        <v>180</v>
      </c>
      <c r="L87" s="8">
        <v>120</v>
      </c>
      <c r="M87" s="8">
        <f t="shared" si="2"/>
        <v>300</v>
      </c>
      <c r="N87" s="8">
        <f t="shared" si="3"/>
        <v>300</v>
      </c>
      <c r="O87" s="12" t="s">
        <v>218</v>
      </c>
    </row>
    <row r="88" spans="1:15">
      <c r="A88" s="4" t="s">
        <v>36</v>
      </c>
      <c r="B88" s="5">
        <v>46030</v>
      </c>
      <c r="C88" s="4" t="s">
        <v>219</v>
      </c>
      <c r="D88" s="4" t="s">
        <v>217</v>
      </c>
      <c r="E88" s="4"/>
      <c r="F88" s="4"/>
      <c r="G88" s="13" t="s">
        <v>124</v>
      </c>
      <c r="H88" s="4"/>
      <c r="I88" s="4"/>
      <c r="J88" s="4"/>
      <c r="K88" s="8">
        <v>180</v>
      </c>
      <c r="L88" s="8">
        <v>180</v>
      </c>
      <c r="M88" s="8">
        <f t="shared" si="2"/>
        <v>360</v>
      </c>
      <c r="N88" s="8">
        <f t="shared" si="3"/>
        <v>360</v>
      </c>
      <c r="O88" s="12" t="s">
        <v>38</v>
      </c>
    </row>
    <row r="89" spans="1:15">
      <c r="A89" s="4" t="s">
        <v>220</v>
      </c>
      <c r="B89" s="5">
        <v>46031</v>
      </c>
      <c r="C89" s="6" t="s">
        <v>74</v>
      </c>
      <c r="D89" s="4" t="s">
        <v>217</v>
      </c>
      <c r="E89" s="4">
        <v>38</v>
      </c>
      <c r="F89" s="4"/>
      <c r="G89" s="13" t="s">
        <v>124</v>
      </c>
      <c r="H89" s="4"/>
      <c r="I89" s="4">
        <v>57</v>
      </c>
      <c r="J89" s="4"/>
      <c r="K89" s="8">
        <v>180</v>
      </c>
      <c r="L89" s="8"/>
      <c r="M89" s="8">
        <f t="shared" si="2"/>
        <v>237</v>
      </c>
      <c r="N89" s="8">
        <f t="shared" si="3"/>
        <v>180</v>
      </c>
      <c r="O89" s="12" t="s">
        <v>221</v>
      </c>
    </row>
    <row r="90" spans="1:15">
      <c r="A90" s="4" t="s">
        <v>222</v>
      </c>
      <c r="B90" s="5">
        <v>46036</v>
      </c>
      <c r="C90" s="4" t="s">
        <v>74</v>
      </c>
      <c r="D90" s="4" t="s">
        <v>217</v>
      </c>
      <c r="E90" s="4"/>
      <c r="F90" s="4"/>
      <c r="G90" s="13" t="s">
        <v>124</v>
      </c>
      <c r="H90" s="4"/>
      <c r="I90" s="4"/>
      <c r="J90" s="4"/>
      <c r="K90" s="8">
        <v>180</v>
      </c>
      <c r="L90" s="8"/>
      <c r="M90" s="8">
        <f t="shared" si="2"/>
        <v>180</v>
      </c>
      <c r="N90" s="8">
        <f t="shared" si="3"/>
        <v>180</v>
      </c>
      <c r="O90" s="12" t="s">
        <v>223</v>
      </c>
    </row>
    <row r="91" spans="1:15">
      <c r="A91" s="4" t="s">
        <v>27</v>
      </c>
      <c r="B91" s="5">
        <v>46036</v>
      </c>
      <c r="C91" s="4" t="s">
        <v>224</v>
      </c>
      <c r="D91" s="4" t="s">
        <v>217</v>
      </c>
      <c r="E91" s="4">
        <v>84</v>
      </c>
      <c r="F91" s="4" t="s">
        <v>32</v>
      </c>
      <c r="G91" s="13" t="s">
        <v>124</v>
      </c>
      <c r="H91" s="4">
        <v>30</v>
      </c>
      <c r="I91" s="4">
        <v>126</v>
      </c>
      <c r="J91" s="4"/>
      <c r="K91" s="8">
        <v>180</v>
      </c>
      <c r="L91" s="4">
        <v>60</v>
      </c>
      <c r="M91" s="8">
        <f t="shared" si="2"/>
        <v>396</v>
      </c>
      <c r="N91" s="8">
        <f t="shared" si="3"/>
        <v>240</v>
      </c>
      <c r="O91" s="12" t="s">
        <v>29</v>
      </c>
    </row>
    <row r="92" spans="1:15">
      <c r="A92" s="4" t="s">
        <v>225</v>
      </c>
      <c r="B92" s="5">
        <v>46037</v>
      </c>
      <c r="C92" s="4" t="s">
        <v>226</v>
      </c>
      <c r="D92" s="4" t="s">
        <v>217</v>
      </c>
      <c r="E92" s="4">
        <v>120</v>
      </c>
      <c r="F92" s="4"/>
      <c r="G92" s="13" t="s">
        <v>124</v>
      </c>
      <c r="H92" s="4"/>
      <c r="I92" s="4">
        <v>180</v>
      </c>
      <c r="J92" s="4"/>
      <c r="K92" s="8">
        <v>180</v>
      </c>
      <c r="L92" s="4"/>
      <c r="M92" s="8">
        <f t="shared" si="2"/>
        <v>360</v>
      </c>
      <c r="N92" s="8">
        <f t="shared" si="3"/>
        <v>180</v>
      </c>
      <c r="O92" s="9" t="s">
        <v>227</v>
      </c>
    </row>
    <row r="93" spans="1:15">
      <c r="A93" s="4" t="s">
        <v>228</v>
      </c>
      <c r="B93" s="5">
        <v>46037</v>
      </c>
      <c r="C93" s="4" t="s">
        <v>229</v>
      </c>
      <c r="D93" s="4" t="s">
        <v>217</v>
      </c>
      <c r="E93" s="4"/>
      <c r="F93" s="4"/>
      <c r="G93" s="13" t="s">
        <v>124</v>
      </c>
      <c r="H93" s="4"/>
      <c r="I93" s="4"/>
      <c r="J93" s="4"/>
      <c r="K93" s="8">
        <v>180</v>
      </c>
      <c r="L93" s="4">
        <v>60</v>
      </c>
      <c r="M93" s="8">
        <f t="shared" si="2"/>
        <v>240</v>
      </c>
      <c r="N93" s="8">
        <f t="shared" si="3"/>
        <v>240</v>
      </c>
      <c r="O93" s="12" t="s">
        <v>230</v>
      </c>
    </row>
    <row r="94" spans="1:15">
      <c r="A94" s="4" t="s">
        <v>231</v>
      </c>
      <c r="B94" s="5">
        <v>46042</v>
      </c>
      <c r="C94" s="4" t="s">
        <v>58</v>
      </c>
      <c r="D94" s="4" t="s">
        <v>217</v>
      </c>
      <c r="E94" s="4">
        <v>70</v>
      </c>
      <c r="F94" s="4"/>
      <c r="G94" s="13" t="s">
        <v>124</v>
      </c>
      <c r="H94" s="4"/>
      <c r="I94" s="4">
        <v>105</v>
      </c>
      <c r="J94" s="4"/>
      <c r="K94" s="8">
        <v>180</v>
      </c>
      <c r="L94" s="4">
        <v>120</v>
      </c>
      <c r="M94" s="8">
        <f t="shared" si="2"/>
        <v>405</v>
      </c>
      <c r="N94" s="8">
        <f t="shared" si="3"/>
        <v>300</v>
      </c>
      <c r="O94" s="12" t="s">
        <v>232</v>
      </c>
    </row>
    <row r="95" spans="1:15">
      <c r="A95" s="4" t="s">
        <v>233</v>
      </c>
      <c r="B95" s="5">
        <v>46043</v>
      </c>
      <c r="C95" s="6" t="s">
        <v>58</v>
      </c>
      <c r="D95" s="4" t="s">
        <v>217</v>
      </c>
      <c r="E95" s="4">
        <v>87</v>
      </c>
      <c r="F95" s="4"/>
      <c r="G95" s="13" t="s">
        <v>124</v>
      </c>
      <c r="H95" s="4"/>
      <c r="I95" s="4">
        <v>130.5</v>
      </c>
      <c r="J95" s="4">
        <v>45</v>
      </c>
      <c r="K95" s="8">
        <v>180</v>
      </c>
      <c r="L95" s="4">
        <v>120</v>
      </c>
      <c r="M95" s="8">
        <f t="shared" si="2"/>
        <v>475.5</v>
      </c>
      <c r="N95" s="8">
        <f t="shared" si="3"/>
        <v>300</v>
      </c>
      <c r="O95" s="9" t="s">
        <v>234</v>
      </c>
    </row>
    <row r="96" spans="1:15">
      <c r="A96" s="4" t="s">
        <v>235</v>
      </c>
      <c r="B96" s="5">
        <v>46044</v>
      </c>
      <c r="C96" s="4" t="s">
        <v>236</v>
      </c>
      <c r="D96" s="4" t="s">
        <v>217</v>
      </c>
      <c r="E96" s="4">
        <v>158</v>
      </c>
      <c r="F96" s="4"/>
      <c r="G96" s="13" t="s">
        <v>124</v>
      </c>
      <c r="H96" s="4"/>
      <c r="I96" s="4">
        <v>237</v>
      </c>
      <c r="J96" s="4">
        <v>42</v>
      </c>
      <c r="K96" s="8">
        <v>180</v>
      </c>
      <c r="L96" s="4"/>
      <c r="M96" s="8">
        <f t="shared" si="2"/>
        <v>459</v>
      </c>
      <c r="N96" s="8">
        <f t="shared" si="3"/>
        <v>180</v>
      </c>
      <c r="O96" s="12" t="s">
        <v>237</v>
      </c>
    </row>
    <row r="97" spans="1:15">
      <c r="A97" s="4" t="s">
        <v>61</v>
      </c>
      <c r="B97" s="5">
        <v>46028</v>
      </c>
      <c r="C97" s="4" t="s">
        <v>47</v>
      </c>
      <c r="D97" s="4" t="s">
        <v>238</v>
      </c>
      <c r="E97" s="4"/>
      <c r="F97" s="4"/>
      <c r="G97" s="13" t="s">
        <v>124</v>
      </c>
      <c r="H97" s="4"/>
      <c r="I97" s="4"/>
      <c r="J97" s="4"/>
      <c r="K97" s="8">
        <v>180</v>
      </c>
      <c r="L97" s="4"/>
      <c r="M97" s="8">
        <f t="shared" si="2"/>
        <v>180</v>
      </c>
      <c r="N97" s="8">
        <f t="shared" si="3"/>
        <v>180</v>
      </c>
      <c r="O97" s="12" t="s">
        <v>62</v>
      </c>
    </row>
    <row r="98" spans="1:15">
      <c r="A98" s="4" t="s">
        <v>239</v>
      </c>
      <c r="B98" s="5">
        <v>46051</v>
      </c>
      <c r="C98" s="4" t="s">
        <v>209</v>
      </c>
      <c r="D98" s="4" t="s">
        <v>238</v>
      </c>
      <c r="E98" s="4">
        <v>36</v>
      </c>
      <c r="F98" s="4"/>
      <c r="G98" s="13" t="s">
        <v>124</v>
      </c>
      <c r="H98" s="4"/>
      <c r="I98" s="4">
        <v>54</v>
      </c>
      <c r="J98" s="4"/>
      <c r="K98" s="8">
        <v>180</v>
      </c>
      <c r="L98" s="4"/>
      <c r="M98" s="8">
        <f t="shared" si="2"/>
        <v>234</v>
      </c>
      <c r="N98" s="8">
        <f t="shared" si="3"/>
        <v>180</v>
      </c>
      <c r="O98" s="12" t="s">
        <v>240</v>
      </c>
    </row>
    <row r="99" spans="1:15">
      <c r="A99" s="4" t="s">
        <v>241</v>
      </c>
      <c r="B99" s="5">
        <v>46039</v>
      </c>
      <c r="C99" s="6" t="s">
        <v>242</v>
      </c>
      <c r="D99" s="4" t="s">
        <v>243</v>
      </c>
      <c r="E99" s="4"/>
      <c r="F99" s="4"/>
      <c r="G99" s="13" t="s">
        <v>124</v>
      </c>
      <c r="H99" s="4"/>
      <c r="I99" s="4"/>
      <c r="J99" s="4"/>
      <c r="K99" s="8">
        <v>210</v>
      </c>
      <c r="L99" s="4">
        <v>420</v>
      </c>
      <c r="M99" s="8">
        <f>H99+I99+J99+K99+L99</f>
        <v>630</v>
      </c>
      <c r="N99" s="8">
        <f t="shared" si="3"/>
        <v>630</v>
      </c>
      <c r="O99" s="12" t="s">
        <v>244</v>
      </c>
    </row>
    <row r="100" spans="1:15">
      <c r="A100" s="4" t="s">
        <v>245</v>
      </c>
      <c r="B100" s="5">
        <v>46051</v>
      </c>
      <c r="C100" s="4" t="s">
        <v>31</v>
      </c>
      <c r="D100" s="4" t="s">
        <v>243</v>
      </c>
      <c r="E100" s="4">
        <v>60</v>
      </c>
      <c r="F100" s="4"/>
      <c r="G100" s="13" t="s">
        <v>124</v>
      </c>
      <c r="H100" s="4"/>
      <c r="I100" s="4">
        <v>90</v>
      </c>
      <c r="J100" s="4"/>
      <c r="K100" s="8">
        <v>180</v>
      </c>
      <c r="L100" s="4">
        <v>120</v>
      </c>
      <c r="M100" s="8">
        <f>H100+I100+J100+K100+L100</f>
        <v>390</v>
      </c>
      <c r="N100" s="8">
        <f t="shared" si="3"/>
        <v>300</v>
      </c>
      <c r="O100" s="9" t="s">
        <v>246</v>
      </c>
    </row>
    <row r="101" spans="1:15">
      <c r="A101" s="4" t="s">
        <v>247</v>
      </c>
      <c r="B101" s="5">
        <v>46050</v>
      </c>
      <c r="C101" s="4" t="s">
        <v>74</v>
      </c>
      <c r="D101" s="4" t="s">
        <v>248</v>
      </c>
      <c r="E101" s="4"/>
      <c r="F101" s="4" t="s">
        <v>249</v>
      </c>
      <c r="G101" s="13" t="s">
        <v>124</v>
      </c>
      <c r="H101" s="4">
        <v>138.19999999999999</v>
      </c>
      <c r="I101" s="4"/>
      <c r="J101" s="4"/>
      <c r="K101" s="8">
        <v>180</v>
      </c>
      <c r="L101" s="4"/>
      <c r="M101" s="8">
        <f>H101+I101+J101+K101+L101</f>
        <v>318.2</v>
      </c>
      <c r="N101" s="8">
        <f t="shared" si="3"/>
        <v>180</v>
      </c>
      <c r="O101" s="9" t="s">
        <v>250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Accounting_5</dc:creator>
  <cp:lastModifiedBy>Accounting_5</cp:lastModifiedBy>
  <dcterms:created xsi:type="dcterms:W3CDTF">2026-03-18T15:24:59Z</dcterms:created>
  <dcterms:modified xsi:type="dcterms:W3CDTF">2026-03-18T15:26:55Z</dcterms:modified>
</cp:coreProperties>
</file>